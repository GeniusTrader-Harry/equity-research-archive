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zhuwenhao/Claude Projects/Equity Research/TCOM/deliverables/"/>
    </mc:Choice>
  </mc:AlternateContent>
  <xr:revisionPtr revIDLastSave="0" documentId="8_{669DE544-5EEC-A441-BDEE-37FE77DA842B}" xr6:coauthVersionLast="47" xr6:coauthVersionMax="47" xr10:uidLastSave="{00000000-0000-0000-0000-000000000000}"/>
  <bookViews>
    <workbookView xWindow="0" yWindow="600" windowWidth="35840" windowHeight="20600" xr2:uid="{00000000-000D-0000-FFFF-FFFF00000000}"/>
  </bookViews>
  <sheets>
    <sheet name="1. Cover" sheetId="1" r:id="rId1"/>
    <sheet name="2. Assumptions" sheetId="2" r:id="rId2"/>
    <sheet name="3. Income Statement" sheetId="3" r:id="rId3"/>
    <sheet name="4. Scenarios" sheetId="4" r:id="rId4"/>
    <sheet name="5. Multiples" sheetId="5" r:id="rId5"/>
    <sheet name="6. Sensitivity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5" l="1"/>
  <c r="B34" i="5" s="1"/>
  <c r="E50" i="4"/>
  <c r="D50" i="4"/>
  <c r="C50" i="4"/>
  <c r="E48" i="4"/>
  <c r="D48" i="4"/>
  <c r="C48" i="4"/>
  <c r="E31" i="4"/>
  <c r="D31" i="4"/>
  <c r="C31" i="4"/>
  <c r="G28" i="3"/>
  <c r="F28" i="3"/>
  <c r="E28" i="3"/>
  <c r="D28" i="3"/>
  <c r="C28" i="3"/>
  <c r="B28" i="3"/>
  <c r="G24" i="3"/>
  <c r="F24" i="3"/>
  <c r="E24" i="3"/>
  <c r="D24" i="3"/>
  <c r="C24" i="3"/>
  <c r="B24" i="3"/>
  <c r="G22" i="3"/>
  <c r="F22" i="3"/>
  <c r="E22" i="3"/>
  <c r="D22" i="3"/>
  <c r="C22" i="3"/>
  <c r="B22" i="3"/>
  <c r="G19" i="3"/>
  <c r="F19" i="3"/>
  <c r="E19" i="3"/>
  <c r="D19" i="3"/>
  <c r="C19" i="3"/>
  <c r="B19" i="3"/>
  <c r="G18" i="3"/>
  <c r="F18" i="3"/>
  <c r="E18" i="3"/>
  <c r="D18" i="3"/>
  <c r="C18" i="3"/>
  <c r="B18" i="3"/>
  <c r="G11" i="3"/>
  <c r="F11" i="3"/>
  <c r="E11" i="3"/>
  <c r="D11" i="3"/>
  <c r="C11" i="3"/>
  <c r="B11" i="3"/>
  <c r="E5" i="3"/>
  <c r="D5" i="3"/>
  <c r="C5" i="3"/>
  <c r="B5" i="3"/>
  <c r="H4" i="3"/>
  <c r="H51" i="2"/>
  <c r="G20" i="2"/>
  <c r="F20" i="2"/>
  <c r="E18" i="2"/>
  <c r="D18" i="2"/>
  <c r="C18" i="2"/>
  <c r="B18" i="2"/>
  <c r="F15" i="2"/>
  <c r="F30" i="2" s="1"/>
  <c r="E15" i="2"/>
  <c r="E30" i="2" s="1"/>
  <c r="D15" i="2"/>
  <c r="D30" i="2" s="1"/>
  <c r="C15" i="2"/>
  <c r="C22" i="2" s="1"/>
  <c r="B15" i="2"/>
  <c r="B26" i="2" s="1"/>
  <c r="B8" i="3" s="1"/>
  <c r="E14" i="2"/>
  <c r="D14" i="2"/>
  <c r="C14" i="2"/>
  <c r="G13" i="2"/>
  <c r="F13" i="2"/>
  <c r="E12" i="2"/>
  <c r="D12" i="2"/>
  <c r="C12" i="2"/>
  <c r="F11" i="2"/>
  <c r="G11" i="2" s="1"/>
  <c r="E10" i="2"/>
  <c r="D10" i="2"/>
  <c r="C10" i="2"/>
  <c r="F9" i="2"/>
  <c r="G9" i="2" s="1"/>
  <c r="E8" i="2"/>
  <c r="D8" i="2"/>
  <c r="C8" i="2"/>
  <c r="F7" i="2"/>
  <c r="G7" i="2" s="1"/>
  <c r="E6" i="2"/>
  <c r="D6" i="2"/>
  <c r="C6" i="2"/>
  <c r="F5" i="2"/>
  <c r="F18" i="2" s="1"/>
  <c r="F21" i="2" s="1"/>
  <c r="F5" i="3" s="1"/>
  <c r="D15" i="1"/>
  <c r="D14" i="1"/>
  <c r="D13" i="1"/>
  <c r="C6" i="3" l="1"/>
  <c r="D12" i="3"/>
  <c r="C14" i="4"/>
  <c r="F12" i="3"/>
  <c r="E14" i="4"/>
  <c r="D14" i="4"/>
  <c r="E12" i="3"/>
  <c r="D26" i="2"/>
  <c r="D8" i="3" s="1"/>
  <c r="C32" i="2"/>
  <c r="C13" i="3" s="1"/>
  <c r="C15" i="4"/>
  <c r="F26" i="2"/>
  <c r="F8" i="3" s="1"/>
  <c r="E15" i="4"/>
  <c r="E32" i="2"/>
  <c r="E13" i="3" s="1"/>
  <c r="C4" i="3"/>
  <c r="E22" i="2"/>
  <c r="B34" i="2"/>
  <c r="B14" i="3" s="1"/>
  <c r="E4" i="3"/>
  <c r="F22" i="2"/>
  <c r="C34" i="2"/>
  <c r="C14" i="3" s="1"/>
  <c r="F4" i="3"/>
  <c r="D34" i="2"/>
  <c r="D14" i="3" s="1"/>
  <c r="C12" i="4"/>
  <c r="C13" i="4" s="1"/>
  <c r="E26" i="2"/>
  <c r="E8" i="3" s="1"/>
  <c r="B4" i="3"/>
  <c r="D12" i="4"/>
  <c r="D13" i="4" s="1"/>
  <c r="D22" i="2"/>
  <c r="D4" i="3"/>
  <c r="B30" i="2"/>
  <c r="E12" i="4"/>
  <c r="E13" i="4" s="1"/>
  <c r="C26" i="2"/>
  <c r="C8" i="3" s="1"/>
  <c r="D32" i="2"/>
  <c r="D13" i="3" s="1"/>
  <c r="D15" i="4"/>
  <c r="B22" i="2"/>
  <c r="G5" i="2"/>
  <c r="C30" i="2"/>
  <c r="B32" i="2"/>
  <c r="B13" i="3" s="1"/>
  <c r="E34" i="2"/>
  <c r="E14" i="3" s="1"/>
  <c r="F32" i="2"/>
  <c r="F13" i="3" s="1"/>
  <c r="F34" i="2"/>
  <c r="F14" i="3" l="1"/>
  <c r="C16" i="4"/>
  <c r="D16" i="4"/>
  <c r="E16" i="4"/>
  <c r="D23" i="2"/>
  <c r="D6" i="3"/>
  <c r="D7" i="3" s="1"/>
  <c r="D27" i="2"/>
  <c r="D17" i="4"/>
  <c r="C17" i="4"/>
  <c r="E35" i="2"/>
  <c r="E15" i="3" s="1"/>
  <c r="G18" i="2"/>
  <c r="G15" i="2"/>
  <c r="F35" i="2"/>
  <c r="F15" i="3" s="1"/>
  <c r="C35" i="2"/>
  <c r="C15" i="3" s="1"/>
  <c r="C12" i="3"/>
  <c r="F23" i="2"/>
  <c r="F27" i="2"/>
  <c r="F6" i="3"/>
  <c r="B27" i="2"/>
  <c r="B6" i="3"/>
  <c r="E23" i="2"/>
  <c r="E6" i="3"/>
  <c r="E7" i="3" s="1"/>
  <c r="E27" i="2"/>
  <c r="D35" i="2"/>
  <c r="D15" i="3" s="1"/>
  <c r="E17" i="4"/>
  <c r="C7" i="3"/>
  <c r="B35" i="2"/>
  <c r="B15" i="3" s="1"/>
  <c r="B12" i="3"/>
  <c r="C27" i="2"/>
  <c r="C23" i="2"/>
  <c r="E18" i="4" l="1"/>
  <c r="E19" i="4"/>
  <c r="E20" i="4" s="1"/>
  <c r="E21" i="4" s="1"/>
  <c r="E36" i="4" s="1"/>
  <c r="D19" i="4"/>
  <c r="D20" i="4" s="1"/>
  <c r="D21" i="4" s="1"/>
  <c r="D36" i="4" s="1"/>
  <c r="D18" i="4"/>
  <c r="D36" i="2"/>
  <c r="D9" i="3"/>
  <c r="D10" i="3" s="1"/>
  <c r="B36" i="2"/>
  <c r="B9" i="3"/>
  <c r="B10" i="3" s="1"/>
  <c r="F7" i="3"/>
  <c r="C9" i="3"/>
  <c r="C10" i="3" s="1"/>
  <c r="C36" i="2"/>
  <c r="E8" i="6"/>
  <c r="E26" i="4"/>
  <c r="D26" i="4"/>
  <c r="C26" i="4"/>
  <c r="G34" i="2"/>
  <c r="G14" i="3" s="1"/>
  <c r="G32" i="2"/>
  <c r="G13" i="3" s="1"/>
  <c r="G26" i="2"/>
  <c r="G8" i="3" s="1"/>
  <c r="F10" i="6"/>
  <c r="E10" i="6"/>
  <c r="D7" i="6"/>
  <c r="E24" i="4"/>
  <c r="G4" i="3"/>
  <c r="D24" i="4"/>
  <c r="C24" i="4"/>
  <c r="C25" i="4" s="1"/>
  <c r="D6" i="6"/>
  <c r="G30" i="2"/>
  <c r="D9" i="6" s="1"/>
  <c r="F8" i="6"/>
  <c r="D47" i="4"/>
  <c r="C47" i="4"/>
  <c r="E49" i="4"/>
  <c r="D49" i="4"/>
  <c r="G21" i="2"/>
  <c r="G5" i="3" s="1"/>
  <c r="C49" i="4"/>
  <c r="E47" i="4"/>
  <c r="C19" i="4"/>
  <c r="C20" i="4" s="1"/>
  <c r="C21" i="4" s="1"/>
  <c r="C36" i="4" s="1"/>
  <c r="C18" i="4"/>
  <c r="E36" i="2"/>
  <c r="E9" i="3"/>
  <c r="E10" i="3" s="1"/>
  <c r="F9" i="3"/>
  <c r="F10" i="3" s="1"/>
  <c r="F36" i="2"/>
  <c r="C8" i="6" l="1"/>
  <c r="B9" i="6"/>
  <c r="E7" i="6"/>
  <c r="F37" i="2"/>
  <c r="F16" i="3"/>
  <c r="F17" i="3" s="1"/>
  <c r="F42" i="2"/>
  <c r="G12" i="3"/>
  <c r="G35" i="2"/>
  <c r="G15" i="3" s="1"/>
  <c r="B6" i="6"/>
  <c r="D8" i="6"/>
  <c r="C9" i="6"/>
  <c r="F6" i="6"/>
  <c r="E9" i="6"/>
  <c r="E16" i="3"/>
  <c r="E17" i="3" s="1"/>
  <c r="E37" i="2"/>
  <c r="E42" i="2"/>
  <c r="F7" i="6"/>
  <c r="E6" i="6"/>
  <c r="B10" i="6"/>
  <c r="F9" i="6"/>
  <c r="C27" i="4"/>
  <c r="C6" i="6"/>
  <c r="B7" i="6"/>
  <c r="C10" i="6"/>
  <c r="D10" i="6"/>
  <c r="C16" i="3"/>
  <c r="C17" i="3" s="1"/>
  <c r="C37" i="2"/>
  <c r="C42" i="2"/>
  <c r="B42" i="2"/>
  <c r="B16" i="3"/>
  <c r="B17" i="3" s="1"/>
  <c r="B37" i="2"/>
  <c r="D25" i="4"/>
  <c r="D27" i="4" s="1"/>
  <c r="C7" i="6"/>
  <c r="B8" i="6"/>
  <c r="D16" i="3"/>
  <c r="D17" i="3" s="1"/>
  <c r="D37" i="2"/>
  <c r="D42" i="2"/>
  <c r="G22" i="2"/>
  <c r="E25" i="4"/>
  <c r="E27" i="4" s="1"/>
  <c r="E21" i="3" l="1"/>
  <c r="E45" i="2"/>
  <c r="E20" i="3"/>
  <c r="E28" i="4"/>
  <c r="E51" i="4" s="1"/>
  <c r="E29" i="4"/>
  <c r="E30" i="4" s="1"/>
  <c r="B20" i="3"/>
  <c r="B21" i="3"/>
  <c r="B45" i="2"/>
  <c r="D29" i="4"/>
  <c r="D30" i="4" s="1"/>
  <c r="D28" i="4"/>
  <c r="D51" i="4" s="1"/>
  <c r="C21" i="3"/>
  <c r="C45" i="2"/>
  <c r="C20" i="3"/>
  <c r="F21" i="3"/>
  <c r="F45" i="2"/>
  <c r="F20" i="3"/>
  <c r="G23" i="2"/>
  <c r="G6" i="3"/>
  <c r="G7" i="3" s="1"/>
  <c r="G27" i="2"/>
  <c r="D21" i="3"/>
  <c r="D20" i="3"/>
  <c r="D45" i="2"/>
  <c r="B35" i="5"/>
  <c r="C29" i="4"/>
  <c r="C30" i="4" s="1"/>
  <c r="C28" i="4"/>
  <c r="C51" i="4" s="1"/>
  <c r="D33" i="4" l="1"/>
  <c r="D34" i="4"/>
  <c r="B38" i="5"/>
  <c r="B36" i="5"/>
  <c r="C48" i="2"/>
  <c r="C25" i="3" s="1"/>
  <c r="C26" i="3" s="1"/>
  <c r="C23" i="3"/>
  <c r="C29" i="3" s="1"/>
  <c r="F23" i="6"/>
  <c r="C33" i="4"/>
  <c r="E23" i="6"/>
  <c r="D23" i="6"/>
  <c r="C23" i="6"/>
  <c r="B23" i="6"/>
  <c r="C34" i="4"/>
  <c r="D48" i="2"/>
  <c r="D25" i="3" s="1"/>
  <c r="D26" i="3" s="1"/>
  <c r="D23" i="3"/>
  <c r="D29" i="3" s="1"/>
  <c r="E48" i="2"/>
  <c r="E25" i="3" s="1"/>
  <c r="E26" i="3" s="1"/>
  <c r="E23" i="3"/>
  <c r="E29" i="3" s="1"/>
  <c r="F48" i="2"/>
  <c r="F23" i="3"/>
  <c r="F29" i="3" s="1"/>
  <c r="B48" i="2"/>
  <c r="B25" i="3" s="1"/>
  <c r="B23" i="3"/>
  <c r="B29" i="3" s="1"/>
  <c r="E33" i="4"/>
  <c r="E34" i="4"/>
  <c r="G36" i="2"/>
  <c r="G9" i="3"/>
  <c r="G10" i="3" s="1"/>
  <c r="B15" i="1" l="1"/>
  <c r="E35" i="4"/>
  <c r="B38" i="4" s="1"/>
  <c r="C35" i="4"/>
  <c r="B14" i="1"/>
  <c r="C14" i="1" s="1"/>
  <c r="G37" i="2"/>
  <c r="G42" i="2"/>
  <c r="G16" i="3"/>
  <c r="G17" i="3" s="1"/>
  <c r="F25" i="3"/>
  <c r="F26" i="3" s="1"/>
  <c r="F51" i="2"/>
  <c r="B13" i="1"/>
  <c r="D35" i="4"/>
  <c r="B39" i="4" s="1"/>
  <c r="B40" i="4" s="1"/>
  <c r="B19" i="1" l="1"/>
  <c r="C13" i="1"/>
  <c r="G21" i="3"/>
  <c r="G45" i="2"/>
  <c r="G20" i="3"/>
  <c r="B18" i="1"/>
  <c r="B20" i="1" s="1"/>
  <c r="C15" i="1"/>
  <c r="G23" i="3" l="1"/>
  <c r="G29" i="3" s="1"/>
  <c r="G48" i="2"/>
  <c r="G25" i="3" l="1"/>
  <c r="G26" i="3" s="1"/>
  <c r="G5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USD/CNY spot 12-Jun-2026 ~6.76 [WebSearch/TradingEconomics]. Yuan +~6% in 12m; TCOM FY25 filings translated at ~7.0 (year-end). Current spot used for a current valuation.</t>
        </r>
      </text>
    </comment>
    <comment ref="B8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12-Jun-2026 close, 52-wk low [Google Finance]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3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RMB105.8bn cash+inv less ~RMB22bn equity portfolio shown separately</t>
        </r>
      </text>
    </comment>
  </commentList>
</comments>
</file>

<file path=xl/sharedStrings.xml><?xml version="1.0" encoding="utf-8"?>
<sst xmlns="http://schemas.openxmlformats.org/spreadsheetml/2006/main" count="351" uniqueCount="301">
  <si>
    <t>TCOM — Trip.com Group Ltd (NasdaqGS:TCOM / SEHK:9961)</t>
  </si>
  <si>
    <t>Forward P/E scenario model — EPS x exit multiple (no DCF: payoff is a multiple re-rate)</t>
  </si>
  <si>
    <t>Valuation date</t>
  </si>
  <si>
    <t>2026-06-14</t>
  </si>
  <si>
    <t>Working currency</t>
  </si>
  <si>
    <t>RMB (reporting)</t>
  </si>
  <si>
    <t>Output currency</t>
  </si>
  <si>
    <t>USD / ADS</t>
  </si>
  <si>
    <t>FX (RMB per USD)</t>
  </si>
  <si>
    <t>Spot price (USD)</t>
  </si>
  <si>
    <t>Spot date</t>
  </si>
  <si>
    <t>2026-06-12</t>
  </si>
  <si>
    <t>Key outputs — FY2027E price target</t>
  </si>
  <si>
    <t>Scenario</t>
  </si>
  <si>
    <t>PT (USD)</t>
  </si>
  <si>
    <t>vs Spot</t>
  </si>
  <si>
    <t>Exit P/E</t>
  </si>
  <si>
    <t>Bear  (take x0.80)</t>
  </si>
  <si>
    <t>Base  (take x0.90)</t>
  </si>
  <si>
    <t>Bull  (take x1.00)</t>
  </si>
  <si>
    <t>Asymmetric payoff (FY2027E)</t>
  </si>
  <si>
    <t>Upside = (Bull-Spot)/Spot</t>
  </si>
  <si>
    <t>Downside = (Spot-Bear)/Spot</t>
  </si>
  <si>
    <t>Skew (Up / Down)</t>
  </si>
  <si>
    <t>Methodology</t>
  </si>
  <si>
    <t>- Revenue: 5 segments grown off FY25A volume; SAMR remedy = take multiplier on China accommodation (~80% of accom).</t>
  </si>
  <si>
    <t>- Costs: gross MARGIN driver (~80.5%, structurally stable); product-dev / G&amp;A / S&amp;M as TRENDING % of volume (op leverage).</t>
  </si>
  <si>
    <t>- Take cut flows ~1:1 to operating income (COGS &amp; opex are volume-driven, not commission-rate-driven).</t>
  </si>
  <si>
    <t>- Below-the-line: recurring net interest + equity affiliates only. One-off investment gains EXCLUDED.</t>
  </si>
  <si>
    <t>- Valuation: forward EPS x exit P/E (lead) + EV/EBITDA cross-check. Output US$/ADS at FX 6.76 (current spot).</t>
  </si>
  <si>
    <t>Pillars (working/pillars_audited.md)</t>
  </si>
  <si>
    <t>P1 - International inflection, inbound-led (offensive)  -&gt; S&amp;M lever</t>
  </si>
  <si>
    <t>P2 - China-core durability vs Meituan/Douyin/AI (defensive) -&gt; defends the base</t>
  </si>
  <si>
    <t>Thesis-level: SAMR remedy is absorbable, not structural -&gt; take lever + exit multiple</t>
  </si>
  <si>
    <t>Counter-pillars (working/risks.md)</t>
  </si>
  <si>
    <t>CP1 severe structural take compression (bear) | CP2 intl never inflects | CP3 competitive/AI erosion</t>
  </si>
  <si>
    <t>TCOM — Assumptions &amp; Drivers (RMB M unless noted)</t>
  </si>
  <si>
    <t>Blue = hard input. Black = formula. Every input justified in the Notes column.</t>
  </si>
  <si>
    <t>Driver</t>
  </si>
  <si>
    <t>FY2022A</t>
  </si>
  <si>
    <t>FY2023A</t>
  </si>
  <si>
    <t>FY2024A</t>
  </si>
  <si>
    <t>FY2025A</t>
  </si>
  <si>
    <t>FY2026E</t>
  </si>
  <si>
    <t>FY2027E</t>
  </si>
  <si>
    <t>Notes / source</t>
  </si>
  <si>
    <t>SEGMENT REVENUE — base volume (pre-remedy)</t>
  </si>
  <si>
    <t>Accommodation</t>
  </si>
  <si>
    <t>Disclosed: FY22 7,400 [20-F FY23] / FY23 17,257 / FY24 21,612 / FY25 26,100 [20-F FY25 Item8]. Fwd col = volume growth only (SAMR take applied separately below).</t>
  </si>
  <si>
    <t xml:space="preserve">  growth (rev hist / vol fwd)</t>
  </si>
  <si>
    <t>Hist accom REV +133/+25/+21% (decelerating; FY25 cadence Q1+23-&gt;Q2+21-&gt;FY+21). Fwd = +14/+13% VOLUME. 2026 proxy (no TCOM qtr yet, Q1 prints Jun-24): May-Day-2026 domestic trips +3.6%, but H World room-nights +13.6% YoY [Xinhua / H World] -&gt; broad boom over, hotels still low-teens; +14% = hotel demand + intl/inbound mix. Take handled separately.</t>
  </si>
  <si>
    <t>Transportation</t>
  </si>
  <si>
    <t>Disclosed: FY22 8,253 / FY23 18,443 / FY24 20,301 / FY25 22,489 [20-F]. Mature, thin regulated take (air/rail).</t>
  </si>
  <si>
    <t xml:space="preserve">  growth</t>
  </si>
  <si>
    <t>Hist computed; fwd +9/+8% (decelerating, volume-led).</t>
  </si>
  <si>
    <t>Packaged tours</t>
  </si>
  <si>
    <t>Disclosed: FY22 781 (COVID) / FY23 3,140 / FY24 4,336 / FY25 4,688 [20-F]. Outbound recovery still completing.</t>
  </si>
  <si>
    <t>Hist computed; fwd +12/+10% (outbound re-rate).</t>
  </si>
  <si>
    <t>Corporate travel</t>
  </si>
  <si>
    <t>Disclosed: FY22 1,079 / FY23 2,254 / FY24 2,502 / FY25 2,829 [20-F]. Share gains vs legacy TMCs.</t>
  </si>
  <si>
    <t>Hist computed; fwd +12/+11% (steady share gain).</t>
  </si>
  <si>
    <t>Other (ads, fin, SkyS)</t>
  </si>
  <si>
    <t>Other = total - 4 named segments: FY22 2,526 / FY23 3,416 / FY24 4,543 / FY25 6,303 [20-F, reconciled]. Ads + fin svcs + Skyscanner.</t>
  </si>
  <si>
    <t>Hist +35/+33/+39%; fwd +28/+24% — stays the fastest line (ads+fintech+Skyscanner ramping); modest decel for base effect + some SAMR cap on ad/ranking fees.</t>
  </si>
  <si>
    <t>Total revenue — base volume</t>
  </si>
  <si>
    <t>Revenue at unchanged commission rates (the volume the business processes). SAMR remedy applied next.</t>
  </si>
  <si>
    <t>SAMR REMEDY — China-accommodation take multiplier</t>
  </si>
  <si>
    <t>China-DOMESTIC accom share (SAMR-exposed)</t>
  </si>
  <si>
    <t>SIZED VIA GMV METHOD [est]: domestic hotel GMV ~RMB280bn [CBNData] x ~7.5% domestic take = ~RMB21bn = ~80% of the RMB26.1bn accom line (FY25). Declines as intl/outbound accom grow faster. Only DOMESTIC China hotels are SAMR-exposed (outbound on Ctrip + Trip.com intl are not). TCOM discloses neither take nor domestic split; GMV-anchored is the better of two soft estimates.</t>
  </si>
  <si>
    <t>China-domestic accom (exposed base)</t>
  </si>
  <si>
    <t>The revenue base on which the commission-rate remedy bites.</t>
  </si>
  <si>
    <t>Commission take multiplier (BASE)</t>
  </si>
  <si>
    <t>GLIDE PATH, not an instant step: probe still OPEN Jun-2026 + FY26 ~half elapsed -&gt; FY26 only -5% (x0.95); FY27 = first full remedy year -&gt; -10% steady state (x0.90); FY28 holds. Channel = commission caps / end-二选一 (Alibaba-2021, Meituan-2021 precedent). Bull x1.00 (behavioral-only) / Bear x0.90-&gt;0.80 on Scenarios tab.</t>
  </si>
  <si>
    <t xml:space="preserve">  implied commission-rate cut</t>
  </si>
  <si>
    <t>The % haircut to the take rate (not to volume).</t>
  </si>
  <si>
    <t>Lost commission revenue (give-back)</t>
  </si>
  <si>
    <t>NET REVENUE (reported basis)</t>
  </si>
  <si>
    <t xml:space="preserve">  total revenue y/y growth</t>
  </si>
  <si>
    <t>Hist +122.1% (FY23 reopening) / +19.7% / +17.1%. Fwd ~+9% / +10% (volume net of base-case take cut).</t>
  </si>
  <si>
    <t>MARGINS</t>
  </si>
  <si>
    <t>Gross margin % (structural, pre-remedy)</t>
  </si>
  <si>
    <t>This is the cost-structure margin on VOLUME (COGS = payment+service). Hist 77.5/81.8/81.2/80.6%, held ~80.5%. REALISED GM (Income Statement) is LOWER in remedy years because the commission give-back cuts revenue, not cost - that gap IS the take-rate hit, by design, not an error.</t>
  </si>
  <si>
    <t>Cost of revenue (volume)</t>
  </si>
  <si>
    <t>Driven off BASE VOLUME (room-nights served), not commission rate -&gt; a take cut does NOT shrink COGS.</t>
  </si>
  <si>
    <t>Gross profit</t>
  </si>
  <si>
    <t>OPERATING EXPENSES — % of base-volume revenue (TRENDING)</t>
  </si>
  <si>
    <t>Product development %</t>
  </si>
  <si>
    <t>Hist 41.6/27.2/24.7/24.2% - steady operating leverage on a largely-fixed engineering base. Fwd 23.5/23.0%.</t>
  </si>
  <si>
    <t xml:space="preserve">  Product development</t>
  </si>
  <si>
    <t>On base volume (R&amp;D scales with product, not commission rate).</t>
  </si>
  <si>
    <t>Sales &amp; marketing % (BASE)</t>
  </si>
  <si>
    <t>Hist 21.2/20.7/22.3/23.9% - RISING on intl reinvestment (the P1 margin drag). BASE 24.0-&gt;23.5% (intl begins to leverage). Bull 23.0/22.0% (intl inflects) / Bear 25.5/26.0% (perpetual sink) on Scenarios tab. This is the international lever.</t>
  </si>
  <si>
    <t xml:space="preserve">  Sales &amp; marketing</t>
  </si>
  <si>
    <t>On base volume.</t>
  </si>
  <si>
    <t>G&amp;A %</t>
  </si>
  <si>
    <t>Hist 14.2/8.4/7.7/7.2% - declining, fixed-cost leverage. Fwd 7.0/6.8%.</t>
  </si>
  <si>
    <t xml:space="preserve">  G&amp;A</t>
  </si>
  <si>
    <t>Total operating expense</t>
  </si>
  <si>
    <t>Ties FY22-25 actuals (15,438/25,065/29,127/34,514).</t>
  </si>
  <si>
    <t>Operating income</t>
  </si>
  <si>
    <t>Ties FY22-25 actuals (88/11,324/14,177/15,773).</t>
  </si>
  <si>
    <t xml:space="preserve">  operating margin</t>
  </si>
  <si>
    <t>Realised on reported revenue.</t>
  </si>
  <si>
    <t>BELOW THE LINE (recurring only; one-off gains excluded)</t>
  </si>
  <si>
    <t>Net interest income</t>
  </si>
  <si>
    <t>Interest income - expense. Hist 585/200/776/2,154. Rising on RMB105.8bn cash+investments (20-F). Fwd 2,400/2,600.</t>
  </si>
  <si>
    <t>Income from affiliates</t>
  </si>
  <si>
    <t>Equity-method (MMYT/Tongcheng/etc). Volatile hist; fwd conservative 500/600 (vs FY24 2,828, FY25 353).</t>
  </si>
  <si>
    <t>memo: one-off invest gain</t>
  </si>
  <si>
    <t>Gain on sale of invest + unusual. FY25 +20,812 (the RMB19.9bn markup). EXCLUDED from forecast NI.</t>
  </si>
  <si>
    <t>Pretax income (clean)</t>
  </si>
  <si>
    <t>Ex one-off. FY25 clean ~18,389 = CapIQ 'EBT excl unusual'.</t>
  </si>
  <si>
    <t>Tax rate</t>
  </si>
  <si>
    <t>Effective. FY22 33% (near-zero EBT), FY23-25 13-15%. Fwd 15%.</t>
  </si>
  <si>
    <t>Minority interest</t>
  </si>
  <si>
    <t>Small. Fwd -100.</t>
  </si>
  <si>
    <t>Net income (clean, ex one-off)</t>
  </si>
  <si>
    <t>Forecast basis. FY25 clean ~15.5bn ~= company non-GAAP ex-investment-gain (~15.9bn). Reported NI incl one-off differs.</t>
  </si>
  <si>
    <t>PER SHARE &amp; VALUATION</t>
  </si>
  <si>
    <t>Diluted ADS (M)</t>
  </si>
  <si>
    <t>Hist diluted. Fwd: buyback (authorised) net of SBC dilution -&gt; 690/680.</t>
  </si>
  <si>
    <t>EPS — clean (RMB)</t>
  </si>
  <si>
    <t>Clean EPS (ex one-off).</t>
  </si>
  <si>
    <t>USD/CNY spot 12-Jun-2026 ~6.76 [WebSearch]. Yuan +~6% in 12m (was ~7.0 at end-FY25 per TCOM's own US$ translation). Current spot for a current valuation.</t>
  </si>
  <si>
    <t>Exit P/E (BASE)</t>
  </si>
  <si>
    <t>BASE 15x ~= Booking 15.3x, below TCOM own 3-yr mean ~16.5x. See Multiples tab. Bull 18x / Bear 12x there.</t>
  </si>
  <si>
    <t>PT base (USD/ADS)</t>
  </si>
  <si>
    <t>TCOM — Income Statement (RMB M) — BASE case</t>
  </si>
  <si>
    <t>FY2022A-FY2025A = CapIQ actuals (saved export). FY2026E-FY2027E = formulas off the Assumptions tab.</t>
  </si>
  <si>
    <t>Total revenue (gross, pre-remedy)</t>
  </si>
  <si>
    <t xml:space="preserve">  less: SAMR commission give-back</t>
  </si>
  <si>
    <t>0 historically (pre-remedy)</t>
  </si>
  <si>
    <t>Net revenue (reported basis)</t>
  </si>
  <si>
    <t xml:space="preserve">  y/y growth</t>
  </si>
  <si>
    <t>Cost of revenue (= struct rate x volume)</t>
  </si>
  <si>
    <t>on VOLUME -&gt; a take cut doesn't shrink it</t>
  </si>
  <si>
    <t xml:space="preserve">  gross margin (realised)</t>
  </si>
  <si>
    <t>OUTPUT - below structural in remedy yrs</t>
  </si>
  <si>
    <t xml:space="preserve">  memo: structural GM (pre-remedy)</t>
  </si>
  <si>
    <t>the 80.5% INPUT. Realised is lower BY give-back/rev - that gap IS the take cut, not an error.</t>
  </si>
  <si>
    <t>Product development</t>
  </si>
  <si>
    <t>Sales &amp; marketing</t>
  </si>
  <si>
    <t>the international lever</t>
  </si>
  <si>
    <t>General &amp; administrative</t>
  </si>
  <si>
    <t>Operating income (EBIT)</t>
  </si>
  <si>
    <t>Pretax income (ex one-off)</t>
  </si>
  <si>
    <t xml:space="preserve">  Tax</t>
  </si>
  <si>
    <t xml:space="preserve">  Minority interest</t>
  </si>
  <si>
    <t xml:space="preserve">  EPS y/y growth (clean)</t>
  </si>
  <si>
    <t>operating EPS growth (ex one-off)</t>
  </si>
  <si>
    <t>memo: one-off investment gain (excluded)</t>
  </si>
  <si>
    <t>memo: reported NI (clean + one-off, after tax)</t>
  </si>
  <si>
    <t>FY25 ties: rev 62,409 / OI 15,773 / clean NI ~15.5bn ~= co. non-GAAP ex-gain. Reported NI 33,294 incl RMB19.9bn one-off.</t>
  </si>
  <si>
    <t>Historical growth (YoY %)</t>
  </si>
  <si>
    <t>comment</t>
  </si>
  <si>
    <t>Total revenue</t>
  </si>
  <si>
    <t>+122% reopening -&gt; normalising to mid-teens</t>
  </si>
  <si>
    <t>tracks revenue; GM stable ~81%</t>
  </si>
  <si>
    <t>leverages then steps up FY25</t>
  </si>
  <si>
    <t>RISES faster than revenue = the intl drag</t>
  </si>
  <si>
    <t>G&amp;A</t>
  </si>
  <si>
    <t>slowest line; fixed-cost leverage</t>
  </si>
  <si>
    <t>nm</t>
  </si>
  <si>
    <t>FY25 +11.3% &lt; rev +17.1% -&gt; margin compressed (S&amp;M)</t>
  </si>
  <si>
    <t>Net income (reported)</t>
  </si>
  <si>
    <t>DISTORTED by one-off investment gains, not operating</t>
  </si>
  <si>
    <t>Diluted EPS (reported)</t>
  </si>
  <si>
    <t>same one-off distortion; clean EPS grows mid-teens</t>
  </si>
  <si>
    <t>TCOM — Scenarios (the cases): price target under each</t>
  </si>
  <si>
    <t>Levers flex: (1) take multiplier — a GLIDE PATH (remedy phases in, not an instant step), (2) S&amp;M ratio, (3) exit P/E.</t>
  </si>
  <si>
    <t>Lever</t>
  </si>
  <si>
    <t>BASE</t>
  </si>
  <si>
    <t>BEAR</t>
  </si>
  <si>
    <t>BULL</t>
  </si>
  <si>
    <t>Justification</t>
  </si>
  <si>
    <t>(1a) China-accom take mult — FY26</t>
  </si>
  <si>
    <t>FY26 ~half elapsed + ruling still pending -&gt; only partial impact: Base -5% / Bear -10% / Bull 0%.</t>
  </si>
  <si>
    <t>(1b) China-accom take mult — FY27</t>
  </si>
  <si>
    <t>FY27 = first full remedy year -&gt; reaches steady state: Base -10% / Bear -20% / Bull 0% (behavioral-only). FY28 holds.</t>
  </si>
  <si>
    <t>(2) S&amp;M % — FY26</t>
  </si>
  <si>
    <t>(2) S&amp;M % — FY27</t>
  </si>
  <si>
    <t>Base modest leverage / Bear perpetual sink (CP2) / Bull intl inflects (P1). &lt;- this is Pillar 1 in the model.</t>
  </si>
  <si>
    <t>(3) Exit P/E</t>
  </si>
  <si>
    <t>Bear=10x (BELOW current trough 12.4x -&gt; deep-stress, toward China-internet lows / Tongcheng 7x) / Base~Booking 15.3x / Bull=TCOM pre-shock 18.3x.</t>
  </si>
  <si>
    <t>FY2026E build</t>
  </si>
  <si>
    <t>Net revenue</t>
  </si>
  <si>
    <t>Pretax (ex one-off)</t>
  </si>
  <si>
    <t>Net income (clean)</t>
  </si>
  <si>
    <t>EPS (RMB)</t>
  </si>
  <si>
    <t>FY2027E build</t>
  </si>
  <si>
    <t>FY2027E EPS (RMB)</t>
  </si>
  <si>
    <t>PRICE TARGET (USD/ADS)</t>
  </si>
  <si>
    <t>vs spot $46.47</t>
  </si>
  <si>
    <t>FY2026E PT (USD) — checkpoint</t>
  </si>
  <si>
    <t>Skew (FY27)</t>
  </si>
  <si>
    <t>Upside (Bull)</t>
  </si>
  <si>
    <t>Downside (Bear)</t>
  </si>
  <si>
    <t>Skew (Up/Down)</t>
  </si>
  <si>
    <t>Honest read: BASE prices a -10% China-accom commission cut at ~1:1 flow-through, so base rev ~5% and base NI ~11%</t>
  </si>
  <si>
    <t>below consensus (consensus prices little economic remedy). Bull (behavioral-only) lands ~at/above consensus. The skew is the thesis.</t>
  </si>
  <si>
    <t>Take-rate transparency &amp; OI-margin bridge (FY2027E)</t>
  </si>
  <si>
    <t>Exposed base: China-domestic accom (RMB)</t>
  </si>
  <si>
    <t>Implied commission-rate cut (FY27 steady state)</t>
  </si>
  <si>
    <t>Lost commission revenue (give-back, RMB)</t>
  </si>
  <si>
    <t>S&amp;M ratio (the Pillar-1 lever)</t>
  </si>
  <si>
    <t>Why the margin moves across cases — and why that is CORRECT, not an inconsistency:</t>
  </si>
  <si>
    <t>The remedy cuts the commission RATE on the SAME bookings (volume unchanged) - it is a 'discount to revenue' only because</t>
  </si>
  <si>
    <t>accommodation revenue = GMV x take-rate, and the remedy lowers the take-rate. That lost commission is ~100% margin (the</t>
  </si>
  <si>
    <t>booking is still served at the same cost), so a -10% rate cut removes ~RMB2.5bn of pure-margin revenue -&gt; OI margin</t>
  </si>
  <si>
    <t>compresses ~3pp even though revenue falls only ~3%. That asymmetry IS why the SAMR take-rate is the dominant risk.</t>
  </si>
  <si>
    <t>A model where margin held flat through a commission cut would be WRONG - it would imply TCOM saves cost when the</t>
  </si>
  <si>
    <t>regulator cuts its rate, which it does not. The S&amp;M lever (Pillar 1) moves margin a further +/-1-2pp on top.</t>
  </si>
  <si>
    <t>PILLAR -&gt; MODEL-DRIVER MAP  (where each thesis element feeds the numbers)</t>
  </si>
  <si>
    <t>Thesis element</t>
  </si>
  <si>
    <t>model driver</t>
  </si>
  <si>
    <t>P1 — Intl inflection (S&amp;M leverages)</t>
  </si>
  <si>
    <t>S&amp;M % FY26/FY27</t>
  </si>
  <si>
    <t>25.5/26.0%</t>
  </si>
  <si>
    <t>24.0/23.5%</t>
  </si>
  <si>
    <t>23.0/22.0%</t>
  </si>
  <si>
    <t>P1 — Inbound engine (high-margin, SAMR-indep.)</t>
  </si>
  <si>
    <t>accom + Other vol/mix</t>
  </si>
  <si>
    <t>supports volume &amp; margin in all cases</t>
  </si>
  <si>
    <t>P2 — Core durability (pricing power)</t>
  </si>
  <si>
    <t>China-accom take mult</t>
  </si>
  <si>
    <t>0.90-&gt;0.80</t>
  </si>
  <si>
    <t>0.95-&gt;0.90</t>
  </si>
  <si>
    <t>1.00</t>
  </si>
  <si>
    <t>P2 — Core durability (no share loss)</t>
  </si>
  <si>
    <t>accom volume growth</t>
  </si>
  <si>
    <t>+14/13% (CP3 would cut)</t>
  </si>
  <si>
    <t>+14/13%</t>
  </si>
  <si>
    <t>Thesis — SAMR absorbable / re-rate</t>
  </si>
  <si>
    <t>exit P/E</t>
  </si>
  <si>
    <t>12x</t>
  </si>
  <si>
    <t>15x</t>
  </si>
  <si>
    <t>18x</t>
  </si>
  <si>
    <t>Per Phase 10: the operating pillars (S&amp;M, volume) run ~consensus-aligned — they underwrite the BASE. The contrarian</t>
  </si>
  <si>
    <t>EDGE is the take lever + exit multiple (the SAMR scenario) plus the distressed setup (52-wk low, trough multiple).</t>
  </si>
  <si>
    <t>Exit-multiple justification (NTM P/E)</t>
  </si>
  <si>
    <t>Payoff is a re-rate, so the exit P/E is the single biggest lever. Each case is anchored to a real reference.</t>
  </si>
  <si>
    <t>TCOM own NTM P/E history (CapIQ, quarterly avg)</t>
  </si>
  <si>
    <t xml:space="preserve">   2023-12</t>
  </si>
  <si>
    <t xml:space="preserve">   2024-06</t>
  </si>
  <si>
    <t xml:space="preserve">   2024-12</t>
  </si>
  <si>
    <t xml:space="preserve">   2025-06</t>
  </si>
  <si>
    <t xml:space="preserve">   2025-12</t>
  </si>
  <si>
    <t xml:space="preserve">   2026-03</t>
  </si>
  <si>
    <t xml:space="preserve">   2026-06</t>
  </si>
  <si>
    <t xml:space="preserve">   3-yr mean ~16.5x | range 12.4-19.7x | pre-SAMR-shock (Dec-25) 18.3x | now 12.4x (trough)</t>
  </si>
  <si>
    <t>Peer NTM P/E (CapIQ)</t>
  </si>
  <si>
    <t xml:space="preserve">   Booking (BKNG)</t>
  </si>
  <si>
    <t xml:space="preserve">   Expedia (EXPE)</t>
  </si>
  <si>
    <t xml:space="preserve">   Airbnb (ABNB)</t>
  </si>
  <si>
    <t xml:space="preserve">   Tongcheng (0780)</t>
  </si>
  <si>
    <t xml:space="preserve">   MakeMyTrip (MMYT)</t>
  </si>
  <si>
    <t>78.2 (NM)</t>
  </si>
  <si>
    <t xml:space="preserve">   OTA leaders cluster 11-15x (Booking/Expedia); China-internet complex compressed 8-13x.</t>
  </si>
  <si>
    <t>Chosen exit multiples</t>
  </si>
  <si>
    <t>Case</t>
  </si>
  <si>
    <t>P/E</t>
  </si>
  <si>
    <t>Anchor</t>
  </si>
  <si>
    <t>Bear</t>
  </si>
  <si>
    <t>Base</t>
  </si>
  <si>
    <t>~ Booking 15.3x; below TCOM 3-yr mean 16.5x. Modest normalisation.</t>
  </si>
  <si>
    <t>Bull</t>
  </si>
  <si>
    <t>Growth check: rev +12-13%, EPS mid-teens. PEG at 15x / ~14% ~= 1.1. Reasonable for dominant compounder.</t>
  </si>
  <si>
    <t>EV/EBITDA cross-check (FY2027E, base)</t>
  </si>
  <si>
    <t>Market cap (698M ADS x $46.47 x FX)</t>
  </si>
  <si>
    <t>less: net cash (operating)</t>
  </si>
  <si>
    <t>less: equity portfolio (MMYT/Tongcheng etc)</t>
  </si>
  <si>
    <t>Enterprise value</t>
  </si>
  <si>
    <t>FY2027E EBITDA (base OI + ~900 D&amp;A)</t>
  </si>
  <si>
    <t>EV/EBITDA (operating business)</t>
  </si>
  <si>
    <t xml:space="preserve">   vs Booking ~11.7x -&gt; TCOM operating co ~7x = cheap</t>
  </si>
  <si>
    <t>Implied PT at 11x FY27 EBITDA + cash + portfolio (USD)</t>
  </si>
  <si>
    <t xml:space="preserve">   above the P/E base -&gt; P/E is the conservative lead; balance sheet = unpriced floor.</t>
  </si>
  <si>
    <t>Sensitivity — FY2027E PT (USD/ADS)</t>
  </si>
  <si>
    <t>PT = f(China-accom take multiplier, exit P/E). Other drivers at base; S&amp;M base.</t>
  </si>
  <si>
    <t>take x  /  P/E -&gt;</t>
  </si>
  <si>
    <t>x0.80</t>
  </si>
  <si>
    <t>x0.85</t>
  </si>
  <si>
    <t>x0.90</t>
  </si>
  <si>
    <t>x0.95</t>
  </si>
  <si>
    <t>x1.00</t>
  </si>
  <si>
    <t>Base case = x0.90 take, 15x (highlighted). Top-left = bear corner, bottom-right = bull corner.</t>
  </si>
  <si>
    <t>Tornado — FY2027E PT swing (base $ +/- )</t>
  </si>
  <si>
    <t>1. Exit P/E (the re-rate)  12x &lt;-&gt; 18x</t>
  </si>
  <si>
    <t>largest bar</t>
  </si>
  <si>
    <t>2. China-accom take (SAMR) x0.80 &lt;-&gt; x1.00</t>
  </si>
  <si>
    <t>2nd; ~1:1 to OI</t>
  </si>
  <si>
    <t>3. S&amp;M ratio (intl margin) 26% &lt;-&gt; 22%</t>
  </si>
  <si>
    <t>P1 lever</t>
  </si>
  <si>
    <t>4. Forward year / buyback</t>
  </si>
  <si>
    <t>minor</t>
  </si>
  <si>
    <t>Top two bars are both the SAMR scenario -&gt; the edge is the regulatory/valuation outcome, not operating differentiation.</t>
  </si>
  <si>
    <t>FX flex — FY2027E base PT (USD)</t>
  </si>
  <si>
    <t>USD/CNY</t>
  </si>
  <si>
    <t>Base PT (USD)</t>
  </si>
  <si>
    <t>Note: current spot 6.76 (highlighted). A severe-SAMR bear could coincide with yuan weakness (toward 7.1),</t>
  </si>
  <si>
    <t>deepening the USD downside - so part of the bear's cushion is FX, itself a variable. Flagged for Phase 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</si>
</sst>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%"/>
    <numFmt numFmtId="166" formatCode="0.0&quot;x&quot;"/>
    <numFmt numFmtId="167" formatCode="0.00&quot;x&quot;"/>
  </numFmts>
  <fonts count="8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i/>
      <sz val="9"/>
      <color rgb="FF555555"/>
      <name val="Calibri"/>
      <family val="2"/>
    </font>
    <font>
      <sz val="11"/>
      <color rgb="FF0000CC"/>
      <name val="Calibri"/>
      <family val="2"/>
    </font>
    <font>
      <b/>
      <u/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CC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E6F0"/>
      </patternFill>
    </fill>
    <fill>
      <patternFill patternType="solid">
        <fgColor rgb="FFFFF4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5" fillId="3" borderId="0" xfId="0" applyNumberFormat="1" applyFont="1" applyFill="1"/>
    <xf numFmtId="165" fontId="5" fillId="3" borderId="0" xfId="0" applyNumberFormat="1" applyFont="1" applyFill="1"/>
    <xf numFmtId="166" fontId="5" fillId="0" borderId="0" xfId="0" applyNumberFormat="1" applyFon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0" xfId="0" applyFill="1"/>
    <xf numFmtId="3" fontId="6" fillId="0" borderId="0" xfId="0" applyNumberFormat="1" applyFont="1"/>
    <xf numFmtId="165" fontId="6" fillId="0" borderId="0" xfId="0" applyNumberFormat="1" applyFont="1"/>
    <xf numFmtId="165" fontId="3" fillId="0" borderId="0" xfId="0" applyNumberFormat="1" applyFont="1"/>
    <xf numFmtId="167" fontId="6" fillId="0" borderId="0" xfId="0" applyNumberFormat="1" applyFont="1"/>
    <xf numFmtId="167" fontId="3" fillId="0" borderId="0" xfId="0" applyNumberFormat="1" applyFont="1"/>
    <xf numFmtId="3" fontId="3" fillId="0" borderId="0" xfId="0" applyNumberFormat="1" applyFont="1"/>
    <xf numFmtId="4" fontId="6" fillId="0" borderId="0" xfId="0" applyNumberFormat="1" applyFont="1"/>
    <xf numFmtId="2" fontId="3" fillId="0" borderId="0" xfId="0" applyNumberFormat="1" applyFont="1"/>
    <xf numFmtId="166" fontId="3" fillId="0" borderId="0" xfId="0" applyNumberFormat="1" applyFont="1"/>
    <xf numFmtId="164" fontId="6" fillId="0" borderId="0" xfId="0" applyNumberFormat="1" applyFont="1"/>
    <xf numFmtId="3" fontId="5" fillId="0" borderId="0" xfId="0" applyNumberFormat="1" applyFont="1"/>
    <xf numFmtId="0" fontId="5" fillId="4" borderId="0" xfId="0" applyFont="1" applyFill="1"/>
    <xf numFmtId="3" fontId="5" fillId="4" borderId="0" xfId="0" applyNumberFormat="1" applyFont="1" applyFill="1"/>
    <xf numFmtId="4" fontId="5" fillId="0" borderId="0" xfId="0" applyNumberFormat="1" applyFont="1"/>
    <xf numFmtId="3" fontId="2" fillId="0" borderId="0" xfId="0" applyNumberFormat="1" applyFont="1"/>
    <xf numFmtId="0" fontId="0" fillId="0" borderId="0" xfId="0" applyAlignment="1">
      <alignment horizontal="center"/>
    </xf>
    <xf numFmtId="0" fontId="5" fillId="3" borderId="0" xfId="0" applyFont="1" applyFill="1" applyAlignment="1">
      <alignment horizontal="center"/>
    </xf>
    <xf numFmtId="167" fontId="7" fillId="3" borderId="0" xfId="0" applyNumberFormat="1" applyFont="1" applyFill="1"/>
    <xf numFmtId="165" fontId="7" fillId="3" borderId="0" xfId="0" applyNumberFormat="1" applyFont="1" applyFill="1"/>
    <xf numFmtId="166" fontId="7" fillId="3" borderId="0" xfId="0" applyNumberFormat="1" applyFont="1" applyFill="1"/>
    <xf numFmtId="3" fontId="0" fillId="0" borderId="0" xfId="0" applyNumberFormat="1"/>
    <xf numFmtId="0" fontId="5" fillId="3" borderId="0" xfId="0" applyFont="1" applyFill="1"/>
    <xf numFmtId="164" fontId="5" fillId="0" borderId="0" xfId="0" applyNumberFormat="1" applyFont="1"/>
    <xf numFmtId="165" fontId="5" fillId="0" borderId="0" xfId="0" applyNumberFormat="1" applyFont="1"/>
    <xf numFmtId="164" fontId="0" fillId="3" borderId="0" xfId="0" applyNumberFormat="1" applyFill="1"/>
    <xf numFmtId="0" fontId="2" fillId="0" borderId="0" xfId="0" applyFont="1" applyAlignment="1">
      <alignment horizontal="left"/>
    </xf>
    <xf numFmtId="166" fontId="6" fillId="0" borderId="0" xfId="0" applyNumberFormat="1" applyFont="1"/>
    <xf numFmtId="0" fontId="6" fillId="0" borderId="0" xfId="0" applyFont="1"/>
    <xf numFmtId="166" fontId="5" fillId="2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/>
  </sheetViews>
  <sheetFormatPr baseColWidth="10" defaultColWidth="8.83203125" defaultRowHeight="15" x14ac:dyDescent="0.2"/>
  <cols>
    <col min="1" max="1" width="34" customWidth="1"/>
    <col min="2" max="5" width="13" customWidth="1"/>
  </cols>
  <sheetData>
    <row r="1" spans="1:4" ht="17" x14ac:dyDescent="0.2">
      <c r="A1" s="1" t="s">
        <v>0</v>
      </c>
    </row>
    <row r="2" spans="1:4" x14ac:dyDescent="0.2">
      <c r="A2" s="2" t="s">
        <v>1</v>
      </c>
    </row>
    <row r="4" spans="1:4" x14ac:dyDescent="0.2">
      <c r="A4" t="s">
        <v>2</v>
      </c>
      <c r="B4" t="s">
        <v>3</v>
      </c>
    </row>
    <row r="5" spans="1:4" x14ac:dyDescent="0.2">
      <c r="A5" t="s">
        <v>4</v>
      </c>
      <c r="B5" t="s">
        <v>5</v>
      </c>
    </row>
    <row r="6" spans="1:4" x14ac:dyDescent="0.2">
      <c r="A6" t="s">
        <v>6</v>
      </c>
      <c r="B6" t="s">
        <v>7</v>
      </c>
    </row>
    <row r="7" spans="1:4" x14ac:dyDescent="0.2">
      <c r="A7" t="s">
        <v>8</v>
      </c>
      <c r="B7" s="3">
        <v>6.76</v>
      </c>
    </row>
    <row r="8" spans="1:4" x14ac:dyDescent="0.2">
      <c r="A8" t="s">
        <v>9</v>
      </c>
      <c r="B8" s="3">
        <v>46.47</v>
      </c>
    </row>
    <row r="9" spans="1:4" x14ac:dyDescent="0.2">
      <c r="A9" t="s">
        <v>10</v>
      </c>
      <c r="B9" t="s">
        <v>11</v>
      </c>
    </row>
    <row r="11" spans="1:4" x14ac:dyDescent="0.2">
      <c r="A11" s="4" t="s">
        <v>12</v>
      </c>
    </row>
    <row r="12" spans="1:4" x14ac:dyDescent="0.2">
      <c r="A12" s="5" t="s">
        <v>13</v>
      </c>
      <c r="B12" s="6" t="s">
        <v>14</v>
      </c>
      <c r="C12" s="6" t="s">
        <v>15</v>
      </c>
      <c r="D12" s="6" t="s">
        <v>16</v>
      </c>
    </row>
    <row r="13" spans="1:4" x14ac:dyDescent="0.2">
      <c r="A13" t="s">
        <v>17</v>
      </c>
      <c r="B13" s="7">
        <f>'4. Scenarios'!D34</f>
        <v>32.262101807648804</v>
      </c>
      <c r="C13" s="8">
        <f>B13/$B$8-1</f>
        <v>-0.30574345152466531</v>
      </c>
      <c r="D13" s="9">
        <f>'4. Scenarios'!D31</f>
        <v>10</v>
      </c>
    </row>
    <row r="14" spans="1:4" x14ac:dyDescent="0.2">
      <c r="A14" s="5" t="s">
        <v>18</v>
      </c>
      <c r="B14" s="10">
        <f>'4. Scenarios'!C34</f>
        <v>61.172381881221767</v>
      </c>
      <c r="C14" s="11">
        <f>B14/$B$8-1</f>
        <v>0.31638437446141099</v>
      </c>
      <c r="D14" s="12">
        <f>'4. Scenarios'!C31</f>
        <v>15</v>
      </c>
    </row>
    <row r="15" spans="1:4" x14ac:dyDescent="0.2">
      <c r="A15" t="s">
        <v>19</v>
      </c>
      <c r="B15" s="7">
        <f>'4. Scenarios'!E34</f>
        <v>86.099420721223481</v>
      </c>
      <c r="C15" s="8">
        <f>B15/$B$8-1</f>
        <v>0.85279579774528691</v>
      </c>
      <c r="D15" s="9">
        <f>'4. Scenarios'!E31</f>
        <v>18</v>
      </c>
    </row>
    <row r="17" spans="1:2" x14ac:dyDescent="0.2">
      <c r="A17" s="4" t="s">
        <v>20</v>
      </c>
    </row>
    <row r="18" spans="1:2" x14ac:dyDescent="0.2">
      <c r="A18" t="s">
        <v>21</v>
      </c>
      <c r="B18" s="8">
        <f>B15/$B$8-1</f>
        <v>0.85279579774528691</v>
      </c>
    </row>
    <row r="19" spans="1:2" x14ac:dyDescent="0.2">
      <c r="A19" t="s">
        <v>22</v>
      </c>
      <c r="B19" s="8">
        <f>1-B13/$B$8</f>
        <v>0.30574345152466531</v>
      </c>
    </row>
    <row r="20" spans="1:2" x14ac:dyDescent="0.2">
      <c r="A20" t="s">
        <v>23</v>
      </c>
      <c r="B20" s="12">
        <f>B18/B19</f>
        <v>2.7892528637738923</v>
      </c>
    </row>
    <row r="22" spans="1:2" x14ac:dyDescent="0.2">
      <c r="A22" s="4" t="s">
        <v>24</v>
      </c>
    </row>
    <row r="23" spans="1:2" x14ac:dyDescent="0.2">
      <c r="A23" s="2" t="s">
        <v>25</v>
      </c>
    </row>
    <row r="24" spans="1:2" x14ac:dyDescent="0.2">
      <c r="A24" s="2" t="s">
        <v>26</v>
      </c>
    </row>
    <row r="25" spans="1:2" x14ac:dyDescent="0.2">
      <c r="A25" s="2" t="s">
        <v>27</v>
      </c>
    </row>
    <row r="26" spans="1:2" x14ac:dyDescent="0.2">
      <c r="A26" s="2" t="s">
        <v>28</v>
      </c>
    </row>
    <row r="27" spans="1:2" x14ac:dyDescent="0.2">
      <c r="A27" s="2" t="s">
        <v>29</v>
      </c>
    </row>
    <row r="29" spans="1:2" x14ac:dyDescent="0.2">
      <c r="A29" s="4" t="s">
        <v>30</v>
      </c>
    </row>
    <row r="30" spans="1:2" x14ac:dyDescent="0.2">
      <c r="A30" s="2" t="s">
        <v>31</v>
      </c>
    </row>
    <row r="31" spans="1:2" x14ac:dyDescent="0.2">
      <c r="A31" s="2" t="s">
        <v>32</v>
      </c>
    </row>
    <row r="32" spans="1:2" x14ac:dyDescent="0.2">
      <c r="A32" s="2" t="s">
        <v>33</v>
      </c>
    </row>
    <row r="34" spans="1:1" x14ac:dyDescent="0.2">
      <c r="A34" s="4" t="s">
        <v>34</v>
      </c>
    </row>
    <row r="35" spans="1:1" x14ac:dyDescent="0.2">
      <c r="A35" s="2" t="s">
        <v>35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/>
  </sheetViews>
  <sheetFormatPr baseColWidth="10" defaultColWidth="8.83203125" defaultRowHeight="15" x14ac:dyDescent="0.2"/>
  <cols>
    <col min="1" max="1" width="34" customWidth="1"/>
    <col min="2" max="7" width="11" customWidth="1"/>
    <col min="8" max="8" width="72" customWidth="1"/>
  </cols>
  <sheetData>
    <row r="1" spans="1:8" ht="17" x14ac:dyDescent="0.2">
      <c r="A1" s="1" t="s">
        <v>36</v>
      </c>
    </row>
    <row r="2" spans="1:8" x14ac:dyDescent="0.2">
      <c r="A2" s="2" t="s">
        <v>37</v>
      </c>
    </row>
    <row r="3" spans="1:8" x14ac:dyDescent="0.2">
      <c r="A3" s="13" t="s">
        <v>38</v>
      </c>
      <c r="B3" s="14" t="s">
        <v>39</v>
      </c>
      <c r="C3" s="14" t="s">
        <v>40</v>
      </c>
      <c r="D3" s="14" t="s">
        <v>41</v>
      </c>
      <c r="E3" s="14" t="s">
        <v>42</v>
      </c>
      <c r="F3" s="14" t="s">
        <v>43</v>
      </c>
      <c r="G3" s="14" t="s">
        <v>44</v>
      </c>
      <c r="H3" s="13" t="s">
        <v>45</v>
      </c>
    </row>
    <row r="4" spans="1:8" x14ac:dyDescent="0.2">
      <c r="A4" s="4" t="s">
        <v>46</v>
      </c>
      <c r="B4" s="15"/>
      <c r="C4" s="15"/>
      <c r="D4" s="15"/>
      <c r="E4" s="15"/>
      <c r="F4" s="15"/>
      <c r="G4" s="15"/>
      <c r="H4" s="15"/>
    </row>
    <row r="5" spans="1:8" x14ac:dyDescent="0.2">
      <c r="A5" t="s">
        <v>47</v>
      </c>
      <c r="B5" s="16">
        <v>7400</v>
      </c>
      <c r="C5" s="16">
        <v>17257</v>
      </c>
      <c r="D5" s="16">
        <v>21612</v>
      </c>
      <c r="E5" s="16">
        <v>26100</v>
      </c>
      <c r="F5" s="16">
        <f>E5*(1+F6)</f>
        <v>29754.000000000004</v>
      </c>
      <c r="G5" s="16">
        <f>F5*(1+G6)</f>
        <v>33622.020000000004</v>
      </c>
      <c r="H5" s="2" t="s">
        <v>48</v>
      </c>
    </row>
    <row r="6" spans="1:8" x14ac:dyDescent="0.2">
      <c r="A6" t="s">
        <v>49</v>
      </c>
      <c r="C6" s="17">
        <f>C5/B5-1</f>
        <v>1.3320270270270269</v>
      </c>
      <c r="D6" s="17">
        <f>D5/C5-1</f>
        <v>0.25236136060728986</v>
      </c>
      <c r="E6" s="17">
        <f>E5/D5-1</f>
        <v>0.20766240977234873</v>
      </c>
      <c r="F6" s="18">
        <v>0.14000000000000001</v>
      </c>
      <c r="G6" s="18">
        <v>0.13</v>
      </c>
      <c r="H6" s="2" t="s">
        <v>50</v>
      </c>
    </row>
    <row r="7" spans="1:8" x14ac:dyDescent="0.2">
      <c r="A7" t="s">
        <v>51</v>
      </c>
      <c r="B7" s="16">
        <v>8253</v>
      </c>
      <c r="C7" s="16">
        <v>18443</v>
      </c>
      <c r="D7" s="16">
        <v>20301</v>
      </c>
      <c r="E7" s="16">
        <v>22489</v>
      </c>
      <c r="F7" s="16">
        <f>E7*(1+F8)</f>
        <v>24513.010000000002</v>
      </c>
      <c r="G7" s="16">
        <f>F7*(1+G8)</f>
        <v>26474.050800000005</v>
      </c>
      <c r="H7" s="2" t="s">
        <v>52</v>
      </c>
    </row>
    <row r="8" spans="1:8" x14ac:dyDescent="0.2">
      <c r="A8" t="s">
        <v>53</v>
      </c>
      <c r="C8" s="17">
        <f>C7/B7-1</f>
        <v>1.2347025324124559</v>
      </c>
      <c r="D8" s="17">
        <f>D7/C7-1</f>
        <v>0.10074282925771305</v>
      </c>
      <c r="E8" s="17">
        <f>E7/D7-1</f>
        <v>0.10777794197330182</v>
      </c>
      <c r="F8" s="18">
        <v>0.09</v>
      </c>
      <c r="G8" s="18">
        <v>0.08</v>
      </c>
      <c r="H8" s="2" t="s">
        <v>54</v>
      </c>
    </row>
    <row r="9" spans="1:8" x14ac:dyDescent="0.2">
      <c r="A9" t="s">
        <v>55</v>
      </c>
      <c r="B9" s="16">
        <v>781</v>
      </c>
      <c r="C9" s="16">
        <v>3140</v>
      </c>
      <c r="D9" s="16">
        <v>4336</v>
      </c>
      <c r="E9" s="16">
        <v>4688</v>
      </c>
      <c r="F9" s="16">
        <f>E9*(1+F10)</f>
        <v>5250.56</v>
      </c>
      <c r="G9" s="16">
        <f>F9*(1+G10)</f>
        <v>5775.6160000000009</v>
      </c>
      <c r="H9" s="2" t="s">
        <v>56</v>
      </c>
    </row>
    <row r="10" spans="1:8" x14ac:dyDescent="0.2">
      <c r="A10" t="s">
        <v>53</v>
      </c>
      <c r="C10" s="17">
        <f>C9/B9-1</f>
        <v>3.0204865556978229</v>
      </c>
      <c r="D10" s="17">
        <f>D9/C9-1</f>
        <v>0.38089171974522285</v>
      </c>
      <c r="E10" s="17">
        <f>E9/D9-1</f>
        <v>8.1180811808118092E-2</v>
      </c>
      <c r="F10" s="18">
        <v>0.12</v>
      </c>
      <c r="G10" s="18">
        <v>0.1</v>
      </c>
      <c r="H10" s="2" t="s">
        <v>57</v>
      </c>
    </row>
    <row r="11" spans="1:8" x14ac:dyDescent="0.2">
      <c r="A11" t="s">
        <v>58</v>
      </c>
      <c r="B11" s="16">
        <v>1079</v>
      </c>
      <c r="C11" s="16">
        <v>2254</v>
      </c>
      <c r="D11" s="16">
        <v>2502</v>
      </c>
      <c r="E11" s="16">
        <v>2829</v>
      </c>
      <c r="F11" s="16">
        <f>E11*(1+F12)</f>
        <v>3168.4800000000005</v>
      </c>
      <c r="G11" s="16">
        <f>F11*(1+G12)</f>
        <v>3517.0128000000009</v>
      </c>
      <c r="H11" s="2" t="s">
        <v>59</v>
      </c>
    </row>
    <row r="12" spans="1:8" x14ac:dyDescent="0.2">
      <c r="A12" t="s">
        <v>53</v>
      </c>
      <c r="C12" s="17">
        <f>C11/B11-1</f>
        <v>1.0889712696941611</v>
      </c>
      <c r="D12" s="17">
        <f>D11/C11-1</f>
        <v>0.11002661934338942</v>
      </c>
      <c r="E12" s="17">
        <f>E11/D11-1</f>
        <v>0.13069544364508401</v>
      </c>
      <c r="F12" s="18">
        <v>0.12</v>
      </c>
      <c r="G12" s="18">
        <v>0.11</v>
      </c>
      <c r="H12" s="2" t="s">
        <v>60</v>
      </c>
    </row>
    <row r="13" spans="1:8" x14ac:dyDescent="0.2">
      <c r="A13" t="s">
        <v>61</v>
      </c>
      <c r="B13" s="16">
        <v>2526</v>
      </c>
      <c r="C13" s="16">
        <v>3416</v>
      </c>
      <c r="D13" s="16">
        <v>4543</v>
      </c>
      <c r="E13" s="16">
        <v>6303</v>
      </c>
      <c r="F13" s="16">
        <f>E13*(1+F14)</f>
        <v>8067.84</v>
      </c>
      <c r="G13" s="16">
        <f>F13*(1+G14)</f>
        <v>10004.1216</v>
      </c>
      <c r="H13" s="2" t="s">
        <v>62</v>
      </c>
    </row>
    <row r="14" spans="1:8" x14ac:dyDescent="0.2">
      <c r="A14" t="s">
        <v>53</v>
      </c>
      <c r="C14" s="17">
        <f>C13/B13-1</f>
        <v>0.35233570863024544</v>
      </c>
      <c r="D14" s="17">
        <f>D13/C13-1</f>
        <v>0.32991803278688514</v>
      </c>
      <c r="E14" s="17">
        <f>E13/D13-1</f>
        <v>0.38740920096852305</v>
      </c>
      <c r="F14" s="18">
        <v>0.28000000000000003</v>
      </c>
      <c r="G14" s="18">
        <v>0.24</v>
      </c>
      <c r="H14" s="2" t="s">
        <v>63</v>
      </c>
    </row>
    <row r="15" spans="1:8" x14ac:dyDescent="0.2">
      <c r="A15" t="s">
        <v>64</v>
      </c>
      <c r="B15" s="16">
        <f t="shared" ref="B15:G15" si="0">SUM(B5,B7,B9,B11,B13)</f>
        <v>20039</v>
      </c>
      <c r="C15" s="16">
        <f t="shared" si="0"/>
        <v>44510</v>
      </c>
      <c r="D15" s="16">
        <f t="shared" si="0"/>
        <v>53294</v>
      </c>
      <c r="E15" s="16">
        <f t="shared" si="0"/>
        <v>62409</v>
      </c>
      <c r="F15" s="16">
        <f t="shared" si="0"/>
        <v>70753.890000000014</v>
      </c>
      <c r="G15" s="16">
        <f t="shared" si="0"/>
        <v>79392.821200000006</v>
      </c>
      <c r="H15" s="2" t="s">
        <v>65</v>
      </c>
    </row>
    <row r="16" spans="1:8" x14ac:dyDescent="0.2">
      <c r="A16" s="4" t="s">
        <v>66</v>
      </c>
      <c r="B16" s="15"/>
      <c r="C16" s="15"/>
      <c r="D16" s="15"/>
      <c r="E16" s="15"/>
      <c r="F16" s="15"/>
      <c r="G16" s="15"/>
      <c r="H16" s="15"/>
    </row>
    <row r="17" spans="1:8" x14ac:dyDescent="0.2">
      <c r="A17" t="s">
        <v>67</v>
      </c>
      <c r="B17" s="17">
        <v>0.86</v>
      </c>
      <c r="C17" s="17">
        <v>0.84</v>
      </c>
      <c r="D17" s="17">
        <v>0.82</v>
      </c>
      <c r="E17" s="17">
        <v>0.8</v>
      </c>
      <c r="F17" s="18">
        <v>0.8</v>
      </c>
      <c r="G17" s="18">
        <v>0.78</v>
      </c>
      <c r="H17" s="2" t="s">
        <v>68</v>
      </c>
    </row>
    <row r="18" spans="1:8" x14ac:dyDescent="0.2">
      <c r="A18" t="s">
        <v>69</v>
      </c>
      <c r="B18" s="16">
        <f t="shared" ref="B18:G18" si="1">B5*B17</f>
        <v>6364</v>
      </c>
      <c r="C18" s="16">
        <f t="shared" si="1"/>
        <v>14495.88</v>
      </c>
      <c r="D18" s="16">
        <f t="shared" si="1"/>
        <v>17721.84</v>
      </c>
      <c r="E18" s="16">
        <f t="shared" si="1"/>
        <v>20880</v>
      </c>
      <c r="F18" s="16">
        <f t="shared" si="1"/>
        <v>23803.200000000004</v>
      </c>
      <c r="G18" s="16">
        <f t="shared" si="1"/>
        <v>26225.175600000002</v>
      </c>
      <c r="H18" s="2" t="s">
        <v>70</v>
      </c>
    </row>
    <row r="19" spans="1:8" x14ac:dyDescent="0.2">
      <c r="A19" t="s">
        <v>71</v>
      </c>
      <c r="B19" s="19">
        <v>1</v>
      </c>
      <c r="C19" s="19">
        <v>1</v>
      </c>
      <c r="D19" s="19">
        <v>1</v>
      </c>
      <c r="E19" s="19">
        <v>1</v>
      </c>
      <c r="F19" s="20">
        <v>0.95</v>
      </c>
      <c r="G19" s="20">
        <v>0.9</v>
      </c>
      <c r="H19" s="2" t="s">
        <v>72</v>
      </c>
    </row>
    <row r="20" spans="1:8" x14ac:dyDescent="0.2">
      <c r="A20" t="s">
        <v>73</v>
      </c>
      <c r="B20" s="17">
        <v>0</v>
      </c>
      <c r="C20" s="17">
        <v>0</v>
      </c>
      <c r="D20" s="17">
        <v>0</v>
      </c>
      <c r="E20" s="17">
        <v>0</v>
      </c>
      <c r="F20" s="17">
        <f>1-F19</f>
        <v>5.0000000000000044E-2</v>
      </c>
      <c r="G20" s="17">
        <f>1-G19</f>
        <v>9.9999999999999978E-2</v>
      </c>
      <c r="H20" s="2" t="s">
        <v>74</v>
      </c>
    </row>
    <row r="21" spans="1:8" x14ac:dyDescent="0.2">
      <c r="A21" t="s">
        <v>75</v>
      </c>
      <c r="B21" s="16">
        <v>0</v>
      </c>
      <c r="C21" s="16">
        <v>0</v>
      </c>
      <c r="D21" s="16">
        <v>0</v>
      </c>
      <c r="E21" s="16">
        <v>0</v>
      </c>
      <c r="F21" s="16">
        <f>F18*(1-F19)</f>
        <v>1190.1600000000012</v>
      </c>
      <c r="G21" s="16">
        <f>G18*(1-G19)</f>
        <v>2622.5175599999998</v>
      </c>
      <c r="H21" s="2"/>
    </row>
    <row r="22" spans="1:8" x14ac:dyDescent="0.2">
      <c r="A22" t="s">
        <v>76</v>
      </c>
      <c r="B22" s="16">
        <f t="shared" ref="B22:G22" si="2">B15-B21</f>
        <v>20039</v>
      </c>
      <c r="C22" s="16">
        <f t="shared" si="2"/>
        <v>44510</v>
      </c>
      <c r="D22" s="16">
        <f t="shared" si="2"/>
        <v>53294</v>
      </c>
      <c r="E22" s="16">
        <f t="shared" si="2"/>
        <v>62409</v>
      </c>
      <c r="F22" s="16">
        <f t="shared" si="2"/>
        <v>69563.73000000001</v>
      </c>
      <c r="G22" s="16">
        <f t="shared" si="2"/>
        <v>76770.303640000013</v>
      </c>
      <c r="H22" s="2"/>
    </row>
    <row r="23" spans="1:8" x14ac:dyDescent="0.2">
      <c r="A23" t="s">
        <v>77</v>
      </c>
      <c r="C23" s="17">
        <f>C22/B22-1</f>
        <v>1.2211687209940614</v>
      </c>
      <c r="D23" s="17">
        <f>D22/C22-1</f>
        <v>0.19734891035722302</v>
      </c>
      <c r="E23" s="17">
        <f>E22/D22-1</f>
        <v>0.17103238638495899</v>
      </c>
      <c r="F23" s="17">
        <f>F22/E22-1</f>
        <v>0.11464259962505419</v>
      </c>
      <c r="G23" s="17">
        <f>G22/F22-1</f>
        <v>0.10359671110217916</v>
      </c>
      <c r="H23" s="2" t="s">
        <v>78</v>
      </c>
    </row>
    <row r="24" spans="1:8" x14ac:dyDescent="0.2">
      <c r="A24" s="4" t="s">
        <v>79</v>
      </c>
      <c r="B24" s="15"/>
      <c r="C24" s="15"/>
      <c r="D24" s="15"/>
      <c r="E24" s="15"/>
      <c r="F24" s="15"/>
      <c r="G24" s="15"/>
      <c r="H24" s="15"/>
    </row>
    <row r="25" spans="1:8" x14ac:dyDescent="0.2">
      <c r="A25" t="s">
        <v>80</v>
      </c>
      <c r="B25" s="17">
        <v>0.77500000000000002</v>
      </c>
      <c r="C25" s="17">
        <v>0.81799999999999995</v>
      </c>
      <c r="D25" s="17">
        <v>0.81200000000000006</v>
      </c>
      <c r="E25" s="17">
        <v>0.80600000000000005</v>
      </c>
      <c r="F25" s="18">
        <v>0.80500000000000005</v>
      </c>
      <c r="G25" s="18">
        <v>0.80500000000000005</v>
      </c>
      <c r="H25" s="2" t="s">
        <v>81</v>
      </c>
    </row>
    <row r="26" spans="1:8" x14ac:dyDescent="0.2">
      <c r="A26" t="s">
        <v>82</v>
      </c>
      <c r="B26" s="16">
        <f t="shared" ref="B26:G26" si="3">B15*(1-B25)</f>
        <v>4508.7749999999996</v>
      </c>
      <c r="C26" s="16">
        <f t="shared" si="3"/>
        <v>8100.8200000000024</v>
      </c>
      <c r="D26" s="16">
        <f t="shared" si="3"/>
        <v>10019.271999999997</v>
      </c>
      <c r="E26" s="16">
        <f t="shared" si="3"/>
        <v>12107.345999999998</v>
      </c>
      <c r="F26" s="16">
        <f t="shared" si="3"/>
        <v>13797.008549999999</v>
      </c>
      <c r="G26" s="16">
        <f t="shared" si="3"/>
        <v>15481.600133999997</v>
      </c>
      <c r="H26" s="2" t="s">
        <v>83</v>
      </c>
    </row>
    <row r="27" spans="1:8" x14ac:dyDescent="0.2">
      <c r="A27" t="s">
        <v>84</v>
      </c>
      <c r="B27" s="16">
        <f t="shared" ref="B27:G27" si="4">B22-B26</f>
        <v>15530.225</v>
      </c>
      <c r="C27" s="16">
        <f t="shared" si="4"/>
        <v>36409.18</v>
      </c>
      <c r="D27" s="16">
        <f t="shared" si="4"/>
        <v>43274.728000000003</v>
      </c>
      <c r="E27" s="16">
        <f t="shared" si="4"/>
        <v>50301.654000000002</v>
      </c>
      <c r="F27" s="16">
        <f t="shared" si="4"/>
        <v>55766.721450000012</v>
      </c>
      <c r="G27" s="16">
        <f t="shared" si="4"/>
        <v>61288.70350600002</v>
      </c>
      <c r="H27" s="2"/>
    </row>
    <row r="28" spans="1:8" x14ac:dyDescent="0.2">
      <c r="A28" s="4" t="s">
        <v>85</v>
      </c>
      <c r="B28" s="15"/>
      <c r="C28" s="15"/>
      <c r="D28" s="15"/>
      <c r="E28" s="15"/>
      <c r="F28" s="15"/>
      <c r="G28" s="15"/>
      <c r="H28" s="15"/>
    </row>
    <row r="29" spans="1:8" x14ac:dyDescent="0.2">
      <c r="A29" t="s">
        <v>86</v>
      </c>
      <c r="B29" s="17">
        <v>0.41599999999999998</v>
      </c>
      <c r="C29" s="17">
        <v>0.27200000000000002</v>
      </c>
      <c r="D29" s="17">
        <v>0.247</v>
      </c>
      <c r="E29" s="17">
        <v>0.24199999999999999</v>
      </c>
      <c r="F29" s="18">
        <v>0.23499999999999999</v>
      </c>
      <c r="G29" s="18">
        <v>0.23</v>
      </c>
      <c r="H29" s="2" t="s">
        <v>87</v>
      </c>
    </row>
    <row r="30" spans="1:8" x14ac:dyDescent="0.2">
      <c r="A30" t="s">
        <v>88</v>
      </c>
      <c r="B30" s="16">
        <f t="shared" ref="B30:G30" si="5">B15*B29</f>
        <v>8336.2240000000002</v>
      </c>
      <c r="C30" s="16">
        <f t="shared" si="5"/>
        <v>12106.720000000001</v>
      </c>
      <c r="D30" s="16">
        <f t="shared" si="5"/>
        <v>13163.618</v>
      </c>
      <c r="E30" s="16">
        <f t="shared" si="5"/>
        <v>15102.977999999999</v>
      </c>
      <c r="F30" s="16">
        <f t="shared" si="5"/>
        <v>16627.164150000004</v>
      </c>
      <c r="G30" s="16">
        <f t="shared" si="5"/>
        <v>18260.348876000004</v>
      </c>
      <c r="H30" s="2" t="s">
        <v>89</v>
      </c>
    </row>
    <row r="31" spans="1:8" x14ac:dyDescent="0.2">
      <c r="A31" t="s">
        <v>90</v>
      </c>
      <c r="B31" s="17">
        <v>0.21199999999999999</v>
      </c>
      <c r="C31" s="17">
        <v>0.20699999999999999</v>
      </c>
      <c r="D31" s="17">
        <v>0.223</v>
      </c>
      <c r="E31" s="17">
        <v>0.23899999999999999</v>
      </c>
      <c r="F31" s="18">
        <v>0.24</v>
      </c>
      <c r="G31" s="18">
        <v>0.23499999999999999</v>
      </c>
      <c r="H31" s="2" t="s">
        <v>91</v>
      </c>
    </row>
    <row r="32" spans="1:8" x14ac:dyDescent="0.2">
      <c r="A32" t="s">
        <v>92</v>
      </c>
      <c r="B32" s="16">
        <f t="shared" ref="B32:G32" si="6">B15*B31</f>
        <v>4248.268</v>
      </c>
      <c r="C32" s="16">
        <f t="shared" si="6"/>
        <v>9213.57</v>
      </c>
      <c r="D32" s="16">
        <f t="shared" si="6"/>
        <v>11884.562</v>
      </c>
      <c r="E32" s="16">
        <f t="shared" si="6"/>
        <v>14915.751</v>
      </c>
      <c r="F32" s="16">
        <f t="shared" si="6"/>
        <v>16980.933600000004</v>
      </c>
      <c r="G32" s="16">
        <f t="shared" si="6"/>
        <v>18657.312981999999</v>
      </c>
      <c r="H32" s="2" t="s">
        <v>93</v>
      </c>
    </row>
    <row r="33" spans="1:8" x14ac:dyDescent="0.2">
      <c r="A33" t="s">
        <v>94</v>
      </c>
      <c r="B33" s="17">
        <v>0.14199999999999999</v>
      </c>
      <c r="C33" s="17">
        <v>8.4000000000000005E-2</v>
      </c>
      <c r="D33" s="17">
        <v>7.6999999999999999E-2</v>
      </c>
      <c r="E33" s="17">
        <v>7.1999999999999995E-2</v>
      </c>
      <c r="F33" s="18">
        <v>7.0000000000000007E-2</v>
      </c>
      <c r="G33" s="18">
        <v>6.8000000000000005E-2</v>
      </c>
      <c r="H33" s="2" t="s">
        <v>95</v>
      </c>
    </row>
    <row r="34" spans="1:8" x14ac:dyDescent="0.2">
      <c r="A34" t="s">
        <v>96</v>
      </c>
      <c r="B34" s="16">
        <f t="shared" ref="B34:G34" si="7">B15*B33</f>
        <v>2845.5379999999996</v>
      </c>
      <c r="C34" s="16">
        <f t="shared" si="7"/>
        <v>3738.84</v>
      </c>
      <c r="D34" s="16">
        <f t="shared" si="7"/>
        <v>4103.6379999999999</v>
      </c>
      <c r="E34" s="16">
        <f t="shared" si="7"/>
        <v>4493.4479999999994</v>
      </c>
      <c r="F34" s="16">
        <f t="shared" si="7"/>
        <v>4952.7723000000015</v>
      </c>
      <c r="G34" s="16">
        <f t="shared" si="7"/>
        <v>5398.7118416000012</v>
      </c>
      <c r="H34" s="2" t="s">
        <v>93</v>
      </c>
    </row>
    <row r="35" spans="1:8" x14ac:dyDescent="0.2">
      <c r="A35" t="s">
        <v>97</v>
      </c>
      <c r="B35" s="16">
        <f t="shared" ref="B35:G35" si="8">B30+B32+B34</f>
        <v>15430.029999999999</v>
      </c>
      <c r="C35" s="16">
        <f t="shared" si="8"/>
        <v>25059.13</v>
      </c>
      <c r="D35" s="16">
        <f t="shared" si="8"/>
        <v>29151.817999999999</v>
      </c>
      <c r="E35" s="16">
        <f t="shared" si="8"/>
        <v>34512.176999999996</v>
      </c>
      <c r="F35" s="16">
        <f t="shared" si="8"/>
        <v>38560.870050000012</v>
      </c>
      <c r="G35" s="16">
        <f t="shared" si="8"/>
        <v>42316.373699600008</v>
      </c>
      <c r="H35" s="2" t="s">
        <v>98</v>
      </c>
    </row>
    <row r="36" spans="1:8" x14ac:dyDescent="0.2">
      <c r="A36" t="s">
        <v>99</v>
      </c>
      <c r="B36" s="16">
        <f t="shared" ref="B36:G36" si="9">B27-B35</f>
        <v>100.19500000000153</v>
      </c>
      <c r="C36" s="16">
        <f t="shared" si="9"/>
        <v>11350.05</v>
      </c>
      <c r="D36" s="16">
        <f t="shared" si="9"/>
        <v>14122.910000000003</v>
      </c>
      <c r="E36" s="16">
        <f t="shared" si="9"/>
        <v>15789.477000000006</v>
      </c>
      <c r="F36" s="16">
        <f t="shared" si="9"/>
        <v>17205.8514</v>
      </c>
      <c r="G36" s="16">
        <f t="shared" si="9"/>
        <v>18972.329806400012</v>
      </c>
      <c r="H36" s="2" t="s">
        <v>100</v>
      </c>
    </row>
    <row r="37" spans="1:8" x14ac:dyDescent="0.2">
      <c r="A37" t="s">
        <v>101</v>
      </c>
      <c r="B37" s="17">
        <f t="shared" ref="B37:G37" si="10">B36/B22</f>
        <v>5.0000000000000764E-3</v>
      </c>
      <c r="C37" s="17">
        <f t="shared" si="10"/>
        <v>0.255</v>
      </c>
      <c r="D37" s="17">
        <f t="shared" si="10"/>
        <v>0.26500000000000007</v>
      </c>
      <c r="E37" s="17">
        <f t="shared" si="10"/>
        <v>0.25300000000000011</v>
      </c>
      <c r="F37" s="17">
        <f t="shared" si="10"/>
        <v>0.2473394023005954</v>
      </c>
      <c r="G37" s="17">
        <f t="shared" si="10"/>
        <v>0.24713110287237114</v>
      </c>
      <c r="H37" s="2" t="s">
        <v>102</v>
      </c>
    </row>
    <row r="38" spans="1:8" x14ac:dyDescent="0.2">
      <c r="A38" s="4" t="s">
        <v>103</v>
      </c>
      <c r="B38" s="15"/>
      <c r="C38" s="15"/>
      <c r="D38" s="15"/>
      <c r="E38" s="15"/>
      <c r="F38" s="15"/>
      <c r="G38" s="15"/>
      <c r="H38" s="15"/>
    </row>
    <row r="39" spans="1:8" x14ac:dyDescent="0.2">
      <c r="A39" t="s">
        <v>104</v>
      </c>
      <c r="B39" s="16">
        <v>585</v>
      </c>
      <c r="C39" s="16">
        <v>200</v>
      </c>
      <c r="D39" s="16">
        <v>776</v>
      </c>
      <c r="E39" s="16">
        <v>2154</v>
      </c>
      <c r="F39" s="21">
        <v>2400</v>
      </c>
      <c r="G39" s="21">
        <v>2600</v>
      </c>
      <c r="H39" s="2" t="s">
        <v>105</v>
      </c>
    </row>
    <row r="40" spans="1:8" x14ac:dyDescent="0.2">
      <c r="A40" t="s">
        <v>106</v>
      </c>
      <c r="B40" s="16">
        <v>-586</v>
      </c>
      <c r="C40" s="16">
        <v>1072</v>
      </c>
      <c r="D40" s="16">
        <v>2828</v>
      </c>
      <c r="E40" s="16">
        <v>353</v>
      </c>
      <c r="F40" s="21">
        <v>500</v>
      </c>
      <c r="G40" s="21">
        <v>600</v>
      </c>
      <c r="H40" s="2" t="s">
        <v>107</v>
      </c>
    </row>
    <row r="41" spans="1:8" x14ac:dyDescent="0.2">
      <c r="A41" t="s">
        <v>108</v>
      </c>
      <c r="B41" s="16">
        <v>2165</v>
      </c>
      <c r="C41" s="16">
        <v>-1003</v>
      </c>
      <c r="D41" s="16">
        <v>1759</v>
      </c>
      <c r="E41" s="16">
        <v>20812</v>
      </c>
      <c r="F41" s="21">
        <v>0</v>
      </c>
      <c r="G41" s="21">
        <v>0</v>
      </c>
      <c r="H41" s="2" t="s">
        <v>109</v>
      </c>
    </row>
    <row r="42" spans="1:8" x14ac:dyDescent="0.2">
      <c r="A42" t="s">
        <v>110</v>
      </c>
      <c r="B42" s="16">
        <f t="shared" ref="B42:G42" si="11">B36+B39+B40</f>
        <v>99.195000000001528</v>
      </c>
      <c r="C42" s="16">
        <f t="shared" si="11"/>
        <v>12622.05</v>
      </c>
      <c r="D42" s="16">
        <f t="shared" si="11"/>
        <v>17726.910000000003</v>
      </c>
      <c r="E42" s="16">
        <f t="shared" si="11"/>
        <v>18296.477000000006</v>
      </c>
      <c r="F42" s="16">
        <f t="shared" si="11"/>
        <v>20105.8514</v>
      </c>
      <c r="G42" s="16">
        <f t="shared" si="11"/>
        <v>22172.329806400012</v>
      </c>
      <c r="H42" s="2" t="s">
        <v>111</v>
      </c>
    </row>
    <row r="43" spans="1:8" x14ac:dyDescent="0.2">
      <c r="A43" t="s">
        <v>112</v>
      </c>
      <c r="B43" s="17">
        <v>0.33</v>
      </c>
      <c r="C43" s="17">
        <v>0.15</v>
      </c>
      <c r="D43" s="17">
        <v>0.13</v>
      </c>
      <c r="E43" s="17">
        <v>0.15</v>
      </c>
      <c r="F43" s="18">
        <v>0.15</v>
      </c>
      <c r="G43" s="18">
        <v>0.15</v>
      </c>
      <c r="H43" s="2" t="s">
        <v>113</v>
      </c>
    </row>
    <row r="44" spans="1:8" x14ac:dyDescent="0.2">
      <c r="A44" t="s">
        <v>114</v>
      </c>
      <c r="B44" s="16">
        <v>36</v>
      </c>
      <c r="C44" s="16">
        <v>-84</v>
      </c>
      <c r="D44" s="16">
        <v>-160</v>
      </c>
      <c r="E44" s="16">
        <v>-92</v>
      </c>
      <c r="F44" s="21">
        <v>-100</v>
      </c>
      <c r="G44" s="21">
        <v>-100</v>
      </c>
      <c r="H44" s="2" t="s">
        <v>115</v>
      </c>
    </row>
    <row r="45" spans="1:8" x14ac:dyDescent="0.2">
      <c r="A45" t="s">
        <v>116</v>
      </c>
      <c r="B45" s="16">
        <f t="shared" ref="B45:G45" si="12">B42*(1-B43)+B44</f>
        <v>102.46065000000101</v>
      </c>
      <c r="C45" s="16">
        <f t="shared" si="12"/>
        <v>10644.742499999998</v>
      </c>
      <c r="D45" s="16">
        <f t="shared" si="12"/>
        <v>15262.411700000002</v>
      </c>
      <c r="E45" s="16">
        <f t="shared" si="12"/>
        <v>15460.005450000004</v>
      </c>
      <c r="F45" s="16">
        <f t="shared" si="12"/>
        <v>16989.973689999999</v>
      </c>
      <c r="G45" s="16">
        <f t="shared" si="12"/>
        <v>18746.48033544001</v>
      </c>
      <c r="H45" s="2" t="s">
        <v>117</v>
      </c>
    </row>
    <row r="46" spans="1:8" x14ac:dyDescent="0.2">
      <c r="A46" s="4" t="s">
        <v>118</v>
      </c>
      <c r="B46" s="15"/>
      <c r="C46" s="15"/>
      <c r="D46" s="15"/>
      <c r="E46" s="15"/>
      <c r="F46" s="15"/>
      <c r="G46" s="15"/>
      <c r="H46" s="15"/>
    </row>
    <row r="47" spans="1:8" x14ac:dyDescent="0.2">
      <c r="A47" t="s">
        <v>119</v>
      </c>
      <c r="B47" s="16">
        <v>657</v>
      </c>
      <c r="C47" s="16">
        <v>671</v>
      </c>
      <c r="D47" s="16">
        <v>689</v>
      </c>
      <c r="E47" s="16">
        <v>698</v>
      </c>
      <c r="F47" s="21">
        <v>690</v>
      </c>
      <c r="G47" s="21">
        <v>680</v>
      </c>
      <c r="H47" s="2" t="s">
        <v>120</v>
      </c>
    </row>
    <row r="48" spans="1:8" x14ac:dyDescent="0.2">
      <c r="A48" t="s">
        <v>121</v>
      </c>
      <c r="B48" s="22">
        <f t="shared" ref="B48:G48" si="13">B45/B47</f>
        <v>0.15595228310502438</v>
      </c>
      <c r="C48" s="22">
        <f t="shared" si="13"/>
        <v>15.863997764530549</v>
      </c>
      <c r="D48" s="22">
        <f t="shared" si="13"/>
        <v>22.15154092888244</v>
      </c>
      <c r="E48" s="22">
        <f t="shared" si="13"/>
        <v>22.149004942693416</v>
      </c>
      <c r="F48" s="22">
        <f t="shared" si="13"/>
        <v>24.623150275362317</v>
      </c>
      <c r="G48" s="22">
        <f t="shared" si="13"/>
        <v>27.568353434470602</v>
      </c>
      <c r="H48" s="2" t="s">
        <v>122</v>
      </c>
    </row>
    <row r="49" spans="1:8" x14ac:dyDescent="0.2">
      <c r="A49" t="s">
        <v>8</v>
      </c>
      <c r="F49" s="23">
        <v>6.76</v>
      </c>
      <c r="G49" s="23">
        <v>6.76</v>
      </c>
      <c r="H49" s="2" t="s">
        <v>123</v>
      </c>
    </row>
    <row r="50" spans="1:8" x14ac:dyDescent="0.2">
      <c r="A50" t="s">
        <v>124</v>
      </c>
      <c r="F50" s="24">
        <v>15</v>
      </c>
      <c r="G50" s="24">
        <v>15</v>
      </c>
      <c r="H50" s="2" t="s">
        <v>125</v>
      </c>
    </row>
    <row r="51" spans="1:8" x14ac:dyDescent="0.2">
      <c r="A51" t="s">
        <v>126</v>
      </c>
      <c r="F51" s="25">
        <f>F48*F50/F49</f>
        <v>54.637167770774376</v>
      </c>
      <c r="G51" s="25">
        <f>G48*G50/G49</f>
        <v>61.172381881221746</v>
      </c>
      <c r="H51" s="2" t="e">
        <f>clean EPS x exit P/E / FX. Headline = FY2027E.</f>
        <v>#NAME?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workbookViewId="0"/>
  </sheetViews>
  <sheetFormatPr baseColWidth="10" defaultColWidth="8.83203125" defaultRowHeight="15" x14ac:dyDescent="0.2"/>
  <cols>
    <col min="1" max="1" width="32" customWidth="1"/>
    <col min="2" max="7" width="11" customWidth="1"/>
    <col min="8" max="8" width="30" customWidth="1"/>
  </cols>
  <sheetData>
    <row r="1" spans="1:8" ht="17" x14ac:dyDescent="0.2">
      <c r="A1" s="1" t="s">
        <v>127</v>
      </c>
    </row>
    <row r="2" spans="1:8" x14ac:dyDescent="0.2">
      <c r="A2" s="2" t="s">
        <v>128</v>
      </c>
    </row>
    <row r="3" spans="1:8" x14ac:dyDescent="0.2">
      <c r="A3" s="13"/>
      <c r="B3" s="14" t="s">
        <v>39</v>
      </c>
      <c r="C3" s="14" t="s">
        <v>40</v>
      </c>
      <c r="D3" s="14" t="s">
        <v>41</v>
      </c>
      <c r="E3" s="14" t="s">
        <v>42</v>
      </c>
      <c r="F3" s="14" t="s">
        <v>43</v>
      </c>
      <c r="G3" s="14" t="s">
        <v>44</v>
      </c>
      <c r="H3" s="13"/>
    </row>
    <row r="4" spans="1:8" x14ac:dyDescent="0.2">
      <c r="A4" t="s">
        <v>129</v>
      </c>
      <c r="B4" s="16">
        <f>'2. Assumptions'!B15</f>
        <v>20039</v>
      </c>
      <c r="C4" s="16">
        <f>'2. Assumptions'!C15</f>
        <v>44510</v>
      </c>
      <c r="D4" s="16">
        <f>'2. Assumptions'!D15</f>
        <v>53294</v>
      </c>
      <c r="E4" s="16">
        <f>'2. Assumptions'!E15</f>
        <v>62409</v>
      </c>
      <c r="F4" s="16">
        <f>'2. Assumptions'!F15</f>
        <v>70753.890000000014</v>
      </c>
      <c r="G4" s="16">
        <f>'2. Assumptions'!G15</f>
        <v>79392.821200000006</v>
      </c>
      <c r="H4" s="2" t="e">
        <f>base-volume bookings at unchanged rates</f>
        <v>#NAME?</v>
      </c>
    </row>
    <row r="5" spans="1:8" x14ac:dyDescent="0.2">
      <c r="A5" t="s">
        <v>130</v>
      </c>
      <c r="B5" s="16">
        <f>-'2. Assumptions'!B21</f>
        <v>0</v>
      </c>
      <c r="C5" s="16">
        <f>-'2. Assumptions'!C21</f>
        <v>0</v>
      </c>
      <c r="D5" s="16">
        <f>-'2. Assumptions'!D21</f>
        <v>0</v>
      </c>
      <c r="E5" s="16">
        <f>-'2. Assumptions'!E21</f>
        <v>0</v>
      </c>
      <c r="F5" s="16">
        <f>-'2. Assumptions'!F21</f>
        <v>-1190.1600000000012</v>
      </c>
      <c r="G5" s="16">
        <f>-'2. Assumptions'!G21</f>
        <v>-2622.5175599999998</v>
      </c>
      <c r="H5" s="2" t="s">
        <v>131</v>
      </c>
    </row>
    <row r="6" spans="1:8" x14ac:dyDescent="0.2">
      <c r="A6" s="5" t="s">
        <v>132</v>
      </c>
      <c r="B6" s="26">
        <f>'2. Assumptions'!B22</f>
        <v>20039</v>
      </c>
      <c r="C6" s="26">
        <f>'2. Assumptions'!C22</f>
        <v>44510</v>
      </c>
      <c r="D6" s="26">
        <f>'2. Assumptions'!D22</f>
        <v>53294</v>
      </c>
      <c r="E6" s="26">
        <f>'2. Assumptions'!E22</f>
        <v>62409</v>
      </c>
      <c r="F6" s="26">
        <f>'2. Assumptions'!F22</f>
        <v>69563.73000000001</v>
      </c>
      <c r="G6" s="26">
        <f>'2. Assumptions'!G22</f>
        <v>76770.303640000013</v>
      </c>
    </row>
    <row r="7" spans="1:8" x14ac:dyDescent="0.2">
      <c r="A7" t="s">
        <v>133</v>
      </c>
      <c r="C7" s="17">
        <f>C6/B6-1</f>
        <v>1.2211687209940614</v>
      </c>
      <c r="D7" s="17">
        <f>D6/C6-1</f>
        <v>0.19734891035722302</v>
      </c>
      <c r="E7" s="17">
        <f>E6/D6-1</f>
        <v>0.17103238638495899</v>
      </c>
      <c r="F7" s="17">
        <f>F6/E6-1</f>
        <v>0.11464259962505419</v>
      </c>
      <c r="G7" s="17">
        <f>G6/F6-1</f>
        <v>0.10359671110217916</v>
      </c>
    </row>
    <row r="8" spans="1:8" x14ac:dyDescent="0.2">
      <c r="A8" t="s">
        <v>134</v>
      </c>
      <c r="B8" s="16">
        <f>'2. Assumptions'!B26</f>
        <v>4508.7749999999996</v>
      </c>
      <c r="C8" s="16">
        <f>'2. Assumptions'!C26</f>
        <v>8100.8200000000024</v>
      </c>
      <c r="D8" s="16">
        <f>'2. Assumptions'!D26</f>
        <v>10019.271999999997</v>
      </c>
      <c r="E8" s="16">
        <f>'2. Assumptions'!E26</f>
        <v>12107.345999999998</v>
      </c>
      <c r="F8" s="16">
        <f>'2. Assumptions'!F26</f>
        <v>13797.008549999999</v>
      </c>
      <c r="G8" s="16">
        <f>'2. Assumptions'!G26</f>
        <v>15481.600133999997</v>
      </c>
      <c r="H8" s="2" t="s">
        <v>135</v>
      </c>
    </row>
    <row r="9" spans="1:8" x14ac:dyDescent="0.2">
      <c r="A9" s="5" t="s">
        <v>84</v>
      </c>
      <c r="B9" s="26">
        <f>'2. Assumptions'!B27</f>
        <v>15530.225</v>
      </c>
      <c r="C9" s="26">
        <f>'2. Assumptions'!C27</f>
        <v>36409.18</v>
      </c>
      <c r="D9" s="26">
        <f>'2. Assumptions'!D27</f>
        <v>43274.728000000003</v>
      </c>
      <c r="E9" s="26">
        <f>'2. Assumptions'!E27</f>
        <v>50301.654000000002</v>
      </c>
      <c r="F9" s="26">
        <f>'2. Assumptions'!F27</f>
        <v>55766.721450000012</v>
      </c>
      <c r="G9" s="26">
        <f>'2. Assumptions'!G27</f>
        <v>61288.70350600002</v>
      </c>
    </row>
    <row r="10" spans="1:8" x14ac:dyDescent="0.2">
      <c r="A10" t="s">
        <v>136</v>
      </c>
      <c r="B10" s="17">
        <f t="shared" ref="B10:G10" si="0">B9/B6</f>
        <v>0.77500000000000002</v>
      </c>
      <c r="C10" s="17">
        <f t="shared" si="0"/>
        <v>0.81800000000000006</v>
      </c>
      <c r="D10" s="17">
        <f t="shared" si="0"/>
        <v>0.81200000000000006</v>
      </c>
      <c r="E10" s="17">
        <f t="shared" si="0"/>
        <v>0.80600000000000005</v>
      </c>
      <c r="F10" s="17">
        <f t="shared" si="0"/>
        <v>0.80166376141704887</v>
      </c>
      <c r="G10" s="17">
        <f t="shared" si="0"/>
        <v>0.79833868826938525</v>
      </c>
      <c r="H10" s="2" t="s">
        <v>137</v>
      </c>
    </row>
    <row r="11" spans="1:8" x14ac:dyDescent="0.2">
      <c r="A11" t="s">
        <v>138</v>
      </c>
      <c r="B11" s="17">
        <f>'2. Assumptions'!B25</f>
        <v>0.77500000000000002</v>
      </c>
      <c r="C11" s="17">
        <f>'2. Assumptions'!C25</f>
        <v>0.81799999999999995</v>
      </c>
      <c r="D11" s="17">
        <f>'2. Assumptions'!D25</f>
        <v>0.81200000000000006</v>
      </c>
      <c r="E11" s="17">
        <f>'2. Assumptions'!E25</f>
        <v>0.80600000000000005</v>
      </c>
      <c r="F11" s="17">
        <f>'2. Assumptions'!F25</f>
        <v>0.80500000000000005</v>
      </c>
      <c r="G11" s="17">
        <f>'2. Assumptions'!G25</f>
        <v>0.80500000000000005</v>
      </c>
      <c r="H11" s="2" t="s">
        <v>139</v>
      </c>
    </row>
    <row r="12" spans="1:8" x14ac:dyDescent="0.2">
      <c r="A12" t="s">
        <v>140</v>
      </c>
      <c r="B12" s="16">
        <f>'2. Assumptions'!B30</f>
        <v>8336.2240000000002</v>
      </c>
      <c r="C12" s="16">
        <f>'2. Assumptions'!C30</f>
        <v>12106.720000000001</v>
      </c>
      <c r="D12" s="16">
        <f>'2. Assumptions'!D30</f>
        <v>13163.618</v>
      </c>
      <c r="E12" s="16">
        <f>'2. Assumptions'!E30</f>
        <v>15102.977999999999</v>
      </c>
      <c r="F12" s="16">
        <f>'2. Assumptions'!F30</f>
        <v>16627.164150000004</v>
      </c>
      <c r="G12" s="16">
        <f>'2. Assumptions'!G30</f>
        <v>18260.348876000004</v>
      </c>
    </row>
    <row r="13" spans="1:8" x14ac:dyDescent="0.2">
      <c r="A13" t="s">
        <v>141</v>
      </c>
      <c r="B13" s="16">
        <f>'2. Assumptions'!B32</f>
        <v>4248.268</v>
      </c>
      <c r="C13" s="16">
        <f>'2. Assumptions'!C32</f>
        <v>9213.57</v>
      </c>
      <c r="D13" s="16">
        <f>'2. Assumptions'!D32</f>
        <v>11884.562</v>
      </c>
      <c r="E13" s="16">
        <f>'2. Assumptions'!E32</f>
        <v>14915.751</v>
      </c>
      <c r="F13" s="16">
        <f>'2. Assumptions'!F32</f>
        <v>16980.933600000004</v>
      </c>
      <c r="G13" s="16">
        <f>'2. Assumptions'!G32</f>
        <v>18657.312981999999</v>
      </c>
      <c r="H13" s="2" t="s">
        <v>142</v>
      </c>
    </row>
    <row r="14" spans="1:8" x14ac:dyDescent="0.2">
      <c r="A14" t="s">
        <v>143</v>
      </c>
      <c r="B14" s="16">
        <f>'2. Assumptions'!B34</f>
        <v>2845.5379999999996</v>
      </c>
      <c r="C14" s="16">
        <f>'2. Assumptions'!C34</f>
        <v>3738.84</v>
      </c>
      <c r="D14" s="16">
        <f>'2. Assumptions'!D34</f>
        <v>4103.6379999999999</v>
      </c>
      <c r="E14" s="16">
        <f>'2. Assumptions'!E34</f>
        <v>4493.4479999999994</v>
      </c>
      <c r="F14" s="16">
        <f>'2. Assumptions'!F34</f>
        <v>4952.7723000000015</v>
      </c>
      <c r="G14" s="16">
        <f>'2. Assumptions'!G34</f>
        <v>5398.7118416000012</v>
      </c>
    </row>
    <row r="15" spans="1:8" x14ac:dyDescent="0.2">
      <c r="A15" s="5" t="s">
        <v>97</v>
      </c>
      <c r="B15" s="26">
        <f>'2. Assumptions'!B35</f>
        <v>15430.029999999999</v>
      </c>
      <c r="C15" s="26">
        <f>'2. Assumptions'!C35</f>
        <v>25059.13</v>
      </c>
      <c r="D15" s="26">
        <f>'2. Assumptions'!D35</f>
        <v>29151.817999999999</v>
      </c>
      <c r="E15" s="26">
        <f>'2. Assumptions'!E35</f>
        <v>34512.176999999996</v>
      </c>
      <c r="F15" s="26">
        <f>'2. Assumptions'!F35</f>
        <v>38560.870050000012</v>
      </c>
      <c r="G15" s="26">
        <f>'2. Assumptions'!G35</f>
        <v>42316.373699600008</v>
      </c>
    </row>
    <row r="16" spans="1:8" x14ac:dyDescent="0.2">
      <c r="A16" s="27" t="s">
        <v>144</v>
      </c>
      <c r="B16" s="28">
        <f>'2. Assumptions'!B36</f>
        <v>100.19500000000153</v>
      </c>
      <c r="C16" s="28">
        <f>'2. Assumptions'!C36</f>
        <v>11350.05</v>
      </c>
      <c r="D16" s="28">
        <f>'2. Assumptions'!D36</f>
        <v>14122.910000000003</v>
      </c>
      <c r="E16" s="28">
        <f>'2. Assumptions'!E36</f>
        <v>15789.477000000006</v>
      </c>
      <c r="F16" s="28">
        <f>'2. Assumptions'!F36</f>
        <v>17205.8514</v>
      </c>
      <c r="G16" s="28">
        <f>'2. Assumptions'!G36</f>
        <v>18972.329806400012</v>
      </c>
    </row>
    <row r="17" spans="1:8" x14ac:dyDescent="0.2">
      <c r="A17" t="s">
        <v>101</v>
      </c>
      <c r="B17" s="17">
        <f t="shared" ref="B17:G17" si="1">B16/B6</f>
        <v>5.0000000000000764E-3</v>
      </c>
      <c r="C17" s="17">
        <f t="shared" si="1"/>
        <v>0.255</v>
      </c>
      <c r="D17" s="17">
        <f t="shared" si="1"/>
        <v>0.26500000000000007</v>
      </c>
      <c r="E17" s="17">
        <f t="shared" si="1"/>
        <v>0.25300000000000011</v>
      </c>
      <c r="F17" s="17">
        <f t="shared" si="1"/>
        <v>0.2473394023005954</v>
      </c>
      <c r="G17" s="17">
        <f t="shared" si="1"/>
        <v>0.24713110287237114</v>
      </c>
    </row>
    <row r="18" spans="1:8" x14ac:dyDescent="0.2">
      <c r="A18" t="s">
        <v>104</v>
      </c>
      <c r="B18" s="16">
        <f>'2. Assumptions'!B39</f>
        <v>585</v>
      </c>
      <c r="C18" s="16">
        <f>'2. Assumptions'!C39</f>
        <v>200</v>
      </c>
      <c r="D18" s="16">
        <f>'2. Assumptions'!D39</f>
        <v>776</v>
      </c>
      <c r="E18" s="16">
        <f>'2. Assumptions'!E39</f>
        <v>2154</v>
      </c>
      <c r="F18" s="16">
        <f>'2. Assumptions'!F39</f>
        <v>2400</v>
      </c>
      <c r="G18" s="16">
        <f>'2. Assumptions'!G39</f>
        <v>2600</v>
      </c>
    </row>
    <row r="19" spans="1:8" x14ac:dyDescent="0.2">
      <c r="A19" t="s">
        <v>106</v>
      </c>
      <c r="B19" s="16">
        <f>'2. Assumptions'!B40</f>
        <v>-586</v>
      </c>
      <c r="C19" s="16">
        <f>'2. Assumptions'!C40</f>
        <v>1072</v>
      </c>
      <c r="D19" s="16">
        <f>'2. Assumptions'!D40</f>
        <v>2828</v>
      </c>
      <c r="E19" s="16">
        <f>'2. Assumptions'!E40</f>
        <v>353</v>
      </c>
      <c r="F19" s="16">
        <f>'2. Assumptions'!F40</f>
        <v>500</v>
      </c>
      <c r="G19" s="16">
        <f>'2. Assumptions'!G40</f>
        <v>600</v>
      </c>
    </row>
    <row r="20" spans="1:8" x14ac:dyDescent="0.2">
      <c r="A20" s="5" t="s">
        <v>145</v>
      </c>
      <c r="B20" s="26">
        <f>'2. Assumptions'!B42</f>
        <v>99.195000000001528</v>
      </c>
      <c r="C20" s="26">
        <f>'2. Assumptions'!C42</f>
        <v>12622.05</v>
      </c>
      <c r="D20" s="26">
        <f>'2. Assumptions'!D42</f>
        <v>17726.910000000003</v>
      </c>
      <c r="E20" s="26">
        <f>'2. Assumptions'!E42</f>
        <v>18296.477000000006</v>
      </c>
      <c r="F20" s="26">
        <f>'2. Assumptions'!F42</f>
        <v>20105.8514</v>
      </c>
      <c r="G20" s="26">
        <f>'2. Assumptions'!G42</f>
        <v>22172.329806400012</v>
      </c>
    </row>
    <row r="21" spans="1:8" x14ac:dyDescent="0.2">
      <c r="A21" t="s">
        <v>146</v>
      </c>
      <c r="B21" s="16">
        <f>-'2. Assumptions'!B42*'2. Assumptions'!B43</f>
        <v>-32.734350000000504</v>
      </c>
      <c r="C21" s="16">
        <f>-'2. Assumptions'!C42*'2. Assumptions'!C43</f>
        <v>-1893.3074999999999</v>
      </c>
      <c r="D21" s="16">
        <f>-'2. Assumptions'!D42*'2. Assumptions'!D43</f>
        <v>-2304.4983000000007</v>
      </c>
      <c r="E21" s="16">
        <f>-'2. Assumptions'!E42*'2. Assumptions'!E43</f>
        <v>-2744.4715500000007</v>
      </c>
      <c r="F21" s="16">
        <f>-'2. Assumptions'!F42*'2. Assumptions'!F43</f>
        <v>-3015.8777099999998</v>
      </c>
      <c r="G21" s="16">
        <f>-'2. Assumptions'!G42*'2. Assumptions'!G43</f>
        <v>-3325.8494709600018</v>
      </c>
    </row>
    <row r="22" spans="1:8" x14ac:dyDescent="0.2">
      <c r="A22" t="s">
        <v>147</v>
      </c>
      <c r="B22" s="16">
        <f>'2. Assumptions'!B44</f>
        <v>36</v>
      </c>
      <c r="C22" s="16">
        <f>'2. Assumptions'!C44</f>
        <v>-84</v>
      </c>
      <c r="D22" s="16">
        <f>'2. Assumptions'!D44</f>
        <v>-160</v>
      </c>
      <c r="E22" s="16">
        <f>'2. Assumptions'!E44</f>
        <v>-92</v>
      </c>
      <c r="F22" s="16">
        <f>'2. Assumptions'!F44</f>
        <v>-100</v>
      </c>
      <c r="G22" s="16">
        <f>'2. Assumptions'!G44</f>
        <v>-100</v>
      </c>
    </row>
    <row r="23" spans="1:8" x14ac:dyDescent="0.2">
      <c r="A23" s="27" t="s">
        <v>116</v>
      </c>
      <c r="B23" s="28">
        <f>'2. Assumptions'!B45</f>
        <v>102.46065000000101</v>
      </c>
      <c r="C23" s="28">
        <f>'2. Assumptions'!C45</f>
        <v>10644.742499999998</v>
      </c>
      <c r="D23" s="28">
        <f>'2. Assumptions'!D45</f>
        <v>15262.411700000002</v>
      </c>
      <c r="E23" s="28">
        <f>'2. Assumptions'!E45</f>
        <v>15460.005450000004</v>
      </c>
      <c r="F23" s="28">
        <f>'2. Assumptions'!F45</f>
        <v>16989.973689999999</v>
      </c>
      <c r="G23" s="28">
        <f>'2. Assumptions'!G45</f>
        <v>18746.48033544001</v>
      </c>
    </row>
    <row r="24" spans="1:8" x14ac:dyDescent="0.2">
      <c r="A24" t="s">
        <v>119</v>
      </c>
      <c r="B24" s="16">
        <f>'2. Assumptions'!B47</f>
        <v>657</v>
      </c>
      <c r="C24" s="16">
        <f>'2. Assumptions'!C47</f>
        <v>671</v>
      </c>
      <c r="D24" s="16">
        <f>'2. Assumptions'!D47</f>
        <v>689</v>
      </c>
      <c r="E24" s="16">
        <f>'2. Assumptions'!E47</f>
        <v>698</v>
      </c>
      <c r="F24" s="16">
        <f>'2. Assumptions'!F47</f>
        <v>690</v>
      </c>
      <c r="G24" s="16">
        <f>'2. Assumptions'!G47</f>
        <v>680</v>
      </c>
    </row>
    <row r="25" spans="1:8" x14ac:dyDescent="0.2">
      <c r="A25" s="5" t="s">
        <v>121</v>
      </c>
      <c r="B25" s="29">
        <f>'2. Assumptions'!B48</f>
        <v>0.15595228310502438</v>
      </c>
      <c r="C25" s="29">
        <f>'2. Assumptions'!C48</f>
        <v>15.863997764530549</v>
      </c>
      <c r="D25" s="29">
        <f>'2. Assumptions'!D48</f>
        <v>22.15154092888244</v>
      </c>
      <c r="E25" s="29">
        <f>'2. Assumptions'!E48</f>
        <v>22.149004942693416</v>
      </c>
      <c r="F25" s="29">
        <f>'2. Assumptions'!F48</f>
        <v>24.623150275362317</v>
      </c>
      <c r="G25" s="29">
        <f>'2. Assumptions'!G48</f>
        <v>27.568353434470602</v>
      </c>
    </row>
    <row r="26" spans="1:8" x14ac:dyDescent="0.2">
      <c r="A26" t="s">
        <v>148</v>
      </c>
      <c r="C26" s="17">
        <f>IFERROR(C25/B25-1,"nm")</f>
        <v>100.72340826743211</v>
      </c>
      <c r="D26" s="17">
        <f>IFERROR(D25/C25-1,"nm")</f>
        <v>0.39634039651782271</v>
      </c>
      <c r="E26" s="17">
        <f>IFERROR(E25/D25-1,"nm")</f>
        <v>-1.1448351142551161E-4</v>
      </c>
      <c r="F26" s="17">
        <f>IFERROR(F25/E25-1,"nm")</f>
        <v>0.11170458172140507</v>
      </c>
      <c r="G26" s="17">
        <f>IFERROR(G25/F25-1,"nm")</f>
        <v>0.11961114342283108</v>
      </c>
      <c r="H26" s="2" t="s">
        <v>149</v>
      </c>
    </row>
    <row r="28" spans="1:8" x14ac:dyDescent="0.2">
      <c r="A28" s="2" t="s">
        <v>150</v>
      </c>
      <c r="B28" s="30">
        <f>'2. Assumptions'!B41</f>
        <v>2165</v>
      </c>
      <c r="C28" s="30">
        <f>'2. Assumptions'!C41</f>
        <v>-1003</v>
      </c>
      <c r="D28" s="30">
        <f>'2. Assumptions'!D41</f>
        <v>1759</v>
      </c>
      <c r="E28" s="30">
        <f>'2. Assumptions'!E41</f>
        <v>20812</v>
      </c>
      <c r="F28" s="30">
        <f>'2. Assumptions'!F41</f>
        <v>0</v>
      </c>
      <c r="G28" s="30">
        <f>'2. Assumptions'!G41</f>
        <v>0</v>
      </c>
    </row>
    <row r="29" spans="1:8" x14ac:dyDescent="0.2">
      <c r="A29" s="2" t="s">
        <v>151</v>
      </c>
      <c r="B29" s="30">
        <f>B23+'2. Assumptions'!B41*(1-'2. Assumptions'!B43)</f>
        <v>1553.0106500000011</v>
      </c>
      <c r="C29" s="30">
        <f>C23+'2. Assumptions'!C41*(1-'2. Assumptions'!C43)</f>
        <v>9792.1924999999992</v>
      </c>
      <c r="D29" s="30">
        <f>D23+'2. Assumptions'!D41*(1-'2. Assumptions'!D43)</f>
        <v>16792.741700000002</v>
      </c>
      <c r="E29" s="30">
        <f>E23+'2. Assumptions'!E41*(1-'2. Assumptions'!E43)</f>
        <v>33150.205450000009</v>
      </c>
      <c r="F29" s="30">
        <f>F23+'2. Assumptions'!F41*(1-'2. Assumptions'!F43)</f>
        <v>16989.973689999999</v>
      </c>
      <c r="G29" s="30">
        <f>G23+'2. Assumptions'!G41*(1-'2. Assumptions'!G43)</f>
        <v>18746.48033544001</v>
      </c>
    </row>
    <row r="31" spans="1:8" x14ac:dyDescent="0.2">
      <c r="A31" s="2" t="s">
        <v>152</v>
      </c>
    </row>
    <row r="33" spans="1:6" x14ac:dyDescent="0.2">
      <c r="A33" s="4" t="s">
        <v>153</v>
      </c>
      <c r="C33" s="14" t="s">
        <v>40</v>
      </c>
      <c r="D33" s="14" t="s">
        <v>41</v>
      </c>
      <c r="E33" s="14" t="s">
        <v>42</v>
      </c>
      <c r="F33" s="13" t="s">
        <v>154</v>
      </c>
    </row>
    <row r="34" spans="1:6" x14ac:dyDescent="0.2">
      <c r="A34" t="s">
        <v>155</v>
      </c>
      <c r="C34" s="8">
        <v>1.2210000000000001</v>
      </c>
      <c r="D34" s="8">
        <v>0.19700000000000001</v>
      </c>
      <c r="E34" s="8">
        <v>0.17100000000000001</v>
      </c>
      <c r="F34" s="2" t="s">
        <v>156</v>
      </c>
    </row>
    <row r="35" spans="1:6" x14ac:dyDescent="0.2">
      <c r="A35" t="s">
        <v>84</v>
      </c>
      <c r="C35" s="8">
        <v>1.3440000000000001</v>
      </c>
      <c r="D35" s="8">
        <v>0.19</v>
      </c>
      <c r="E35" s="8">
        <v>0.161</v>
      </c>
      <c r="F35" s="2" t="s">
        <v>157</v>
      </c>
    </row>
    <row r="36" spans="1:6" x14ac:dyDescent="0.2">
      <c r="A36" t="s">
        <v>140</v>
      </c>
      <c r="C36" s="8">
        <v>0.45300000000000001</v>
      </c>
      <c r="D36" s="8">
        <v>8.4000000000000005E-2</v>
      </c>
      <c r="E36" s="8">
        <v>0.152</v>
      </c>
      <c r="F36" s="2" t="s">
        <v>158</v>
      </c>
    </row>
    <row r="37" spans="1:6" x14ac:dyDescent="0.2">
      <c r="A37" t="s">
        <v>141</v>
      </c>
      <c r="C37" s="8">
        <v>1.165</v>
      </c>
      <c r="D37" s="8">
        <v>0.29299999999999998</v>
      </c>
      <c r="E37" s="8">
        <v>0.252</v>
      </c>
      <c r="F37" s="2" t="s">
        <v>159</v>
      </c>
    </row>
    <row r="38" spans="1:6" x14ac:dyDescent="0.2">
      <c r="A38" t="s">
        <v>160</v>
      </c>
      <c r="C38" s="8">
        <v>0.315</v>
      </c>
      <c r="D38" s="8">
        <v>9.1999999999999998E-2</v>
      </c>
      <c r="E38" s="8">
        <v>9.5000000000000001E-2</v>
      </c>
      <c r="F38" s="2" t="s">
        <v>161</v>
      </c>
    </row>
    <row r="39" spans="1:6" x14ac:dyDescent="0.2">
      <c r="A39" t="s">
        <v>99</v>
      </c>
      <c r="C39" s="31" t="s">
        <v>162</v>
      </c>
      <c r="D39" s="8">
        <v>0.252</v>
      </c>
      <c r="E39" s="8">
        <v>0.113</v>
      </c>
      <c r="F39" s="2" t="s">
        <v>163</v>
      </c>
    </row>
    <row r="40" spans="1:6" x14ac:dyDescent="0.2">
      <c r="A40" t="s">
        <v>164</v>
      </c>
      <c r="C40" s="8">
        <v>6.069</v>
      </c>
      <c r="D40" s="8">
        <v>0.72099999999999997</v>
      </c>
      <c r="E40" s="8">
        <v>0.95099999999999996</v>
      </c>
      <c r="F40" s="2" t="s">
        <v>165</v>
      </c>
    </row>
    <row r="41" spans="1:6" x14ac:dyDescent="0.2">
      <c r="A41" t="s">
        <v>166</v>
      </c>
      <c r="C41" s="8">
        <v>5.907</v>
      </c>
      <c r="D41" s="8">
        <v>0.67700000000000005</v>
      </c>
      <c r="E41" s="8">
        <v>0.92400000000000004</v>
      </c>
      <c r="F41" s="2" t="s">
        <v>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0"/>
  <sheetViews>
    <sheetView workbookViewId="0"/>
  </sheetViews>
  <sheetFormatPr baseColWidth="10" defaultColWidth="8.83203125" defaultRowHeight="15" x14ac:dyDescent="0.2"/>
  <cols>
    <col min="1" max="1" width="34" customWidth="1"/>
    <col min="2" max="5" width="13" customWidth="1"/>
    <col min="6" max="6" width="60" customWidth="1"/>
  </cols>
  <sheetData>
    <row r="1" spans="1:6" ht="17" x14ac:dyDescent="0.2">
      <c r="A1" s="1" t="s">
        <v>168</v>
      </c>
    </row>
    <row r="2" spans="1:6" x14ac:dyDescent="0.2">
      <c r="A2" s="2" t="s">
        <v>169</v>
      </c>
    </row>
    <row r="4" spans="1:6" x14ac:dyDescent="0.2">
      <c r="A4" s="13" t="s">
        <v>170</v>
      </c>
      <c r="B4" s="13"/>
      <c r="C4" s="32" t="s">
        <v>171</v>
      </c>
      <c r="D4" s="14" t="s">
        <v>172</v>
      </c>
      <c r="E4" s="14" t="s">
        <v>173</v>
      </c>
      <c r="F4" s="13" t="s">
        <v>174</v>
      </c>
    </row>
    <row r="5" spans="1:6" x14ac:dyDescent="0.2">
      <c r="A5" t="s">
        <v>175</v>
      </c>
      <c r="C5" s="33">
        <v>0.95</v>
      </c>
      <c r="D5" s="20">
        <v>0.9</v>
      </c>
      <c r="E5" s="20">
        <v>1</v>
      </c>
      <c r="F5" s="2" t="s">
        <v>176</v>
      </c>
    </row>
    <row r="6" spans="1:6" x14ac:dyDescent="0.2">
      <c r="A6" t="s">
        <v>177</v>
      </c>
      <c r="C6" s="33">
        <v>0.9</v>
      </c>
      <c r="D6" s="20">
        <v>0.8</v>
      </c>
      <c r="E6" s="20">
        <v>1</v>
      </c>
      <c r="F6" s="2" t="s">
        <v>178</v>
      </c>
    </row>
    <row r="7" spans="1:6" x14ac:dyDescent="0.2">
      <c r="A7" t="s">
        <v>179</v>
      </c>
      <c r="C7" s="34">
        <v>0.24</v>
      </c>
      <c r="D7" s="18">
        <v>0.255</v>
      </c>
      <c r="E7" s="18">
        <v>0.23</v>
      </c>
    </row>
    <row r="8" spans="1:6" x14ac:dyDescent="0.2">
      <c r="A8" t="s">
        <v>180</v>
      </c>
      <c r="C8" s="34">
        <v>0.23499999999999999</v>
      </c>
      <c r="D8" s="18">
        <v>0.26</v>
      </c>
      <c r="E8" s="18">
        <v>0.22</v>
      </c>
      <c r="F8" s="2" t="s">
        <v>181</v>
      </c>
    </row>
    <row r="9" spans="1:6" x14ac:dyDescent="0.2">
      <c r="A9" t="s">
        <v>182</v>
      </c>
      <c r="C9" s="35">
        <v>15</v>
      </c>
      <c r="D9" s="24">
        <v>10</v>
      </c>
      <c r="E9" s="24">
        <v>18</v>
      </c>
      <c r="F9" s="2" t="s">
        <v>183</v>
      </c>
    </row>
    <row r="11" spans="1:6" x14ac:dyDescent="0.2">
      <c r="A11" s="4" t="s">
        <v>184</v>
      </c>
      <c r="B11" s="15"/>
      <c r="C11" s="15"/>
      <c r="D11" s="15"/>
      <c r="E11" s="15"/>
      <c r="F11" s="15"/>
    </row>
    <row r="12" spans="1:6" x14ac:dyDescent="0.2">
      <c r="A12" t="s">
        <v>185</v>
      </c>
      <c r="C12" s="36">
        <f>'2. Assumptions'!F15-'2. Assumptions'!F18*(1-C5)</f>
        <v>69563.73000000001</v>
      </c>
      <c r="D12" s="36">
        <f>'2. Assumptions'!F15-'2. Assumptions'!F18*(1-D5)</f>
        <v>68373.570000000007</v>
      </c>
      <c r="E12" s="36">
        <f>'2. Assumptions'!F15-'2. Assumptions'!F18*(1-E5)</f>
        <v>70753.890000000014</v>
      </c>
    </row>
    <row r="13" spans="1:6" x14ac:dyDescent="0.2">
      <c r="A13" t="s">
        <v>84</v>
      </c>
      <c r="C13" s="36">
        <f>C12-'2. Assumptions'!F26</f>
        <v>55766.721450000012</v>
      </c>
      <c r="D13" s="36">
        <f>D12-'2. Assumptions'!F26</f>
        <v>54576.561450000008</v>
      </c>
      <c r="E13" s="36">
        <f>E12-'2. Assumptions'!F26</f>
        <v>56956.881450000015</v>
      </c>
    </row>
    <row r="14" spans="1:6" x14ac:dyDescent="0.2">
      <c r="A14" t="s">
        <v>88</v>
      </c>
      <c r="C14" s="36">
        <f>'2. Assumptions'!F30</f>
        <v>16627.164150000004</v>
      </c>
      <c r="D14" s="36">
        <f>'2. Assumptions'!F30</f>
        <v>16627.164150000004</v>
      </c>
      <c r="E14" s="36">
        <f>'2. Assumptions'!F30</f>
        <v>16627.164150000004</v>
      </c>
    </row>
    <row r="15" spans="1:6" x14ac:dyDescent="0.2">
      <c r="A15" t="s">
        <v>92</v>
      </c>
      <c r="C15" s="36">
        <f>'2. Assumptions'!F15*C7</f>
        <v>16980.933600000004</v>
      </c>
      <c r="D15" s="36">
        <f>'2. Assumptions'!F15*D7</f>
        <v>18042.241950000003</v>
      </c>
      <c r="E15" s="36">
        <f>'2. Assumptions'!F15*E7</f>
        <v>16273.394700000004</v>
      </c>
    </row>
    <row r="16" spans="1:6" x14ac:dyDescent="0.2">
      <c r="A16" t="s">
        <v>96</v>
      </c>
      <c r="C16" s="36">
        <f>'2. Assumptions'!F34</f>
        <v>4952.7723000000015</v>
      </c>
      <c r="D16" s="36">
        <f>'2. Assumptions'!F34</f>
        <v>4952.7723000000015</v>
      </c>
      <c r="E16" s="36">
        <f>'2. Assumptions'!F34</f>
        <v>4952.7723000000015</v>
      </c>
    </row>
    <row r="17" spans="1:6" x14ac:dyDescent="0.2">
      <c r="A17" t="s">
        <v>99</v>
      </c>
      <c r="C17" s="26">
        <f>C13-C14-C15-C16</f>
        <v>17205.851400000003</v>
      </c>
      <c r="D17" s="26">
        <f>D13-D14-D15-D16</f>
        <v>14954.38305</v>
      </c>
      <c r="E17" s="26">
        <f>E13-E14-E15-E16</f>
        <v>19103.550300000006</v>
      </c>
    </row>
    <row r="18" spans="1:6" x14ac:dyDescent="0.2">
      <c r="A18" t="s">
        <v>101</v>
      </c>
      <c r="C18" s="8">
        <f>C17/C12</f>
        <v>0.24733940230059545</v>
      </c>
      <c r="D18" s="8">
        <f>D17/D12</f>
        <v>0.21871584370978434</v>
      </c>
      <c r="E18" s="8">
        <f>E17/E12</f>
        <v>0.27</v>
      </c>
    </row>
    <row r="19" spans="1:6" x14ac:dyDescent="0.2">
      <c r="A19" t="s">
        <v>186</v>
      </c>
      <c r="C19" s="36">
        <f>C17+'2. Assumptions'!F39+'2. Assumptions'!F40</f>
        <v>20105.851400000003</v>
      </c>
      <c r="D19" s="36">
        <f>D17+'2. Assumptions'!F39+'2. Assumptions'!F40</f>
        <v>17854.38305</v>
      </c>
      <c r="E19" s="36">
        <f>E17+'2. Assumptions'!F39+'2. Assumptions'!F40</f>
        <v>22003.550300000006</v>
      </c>
    </row>
    <row r="20" spans="1:6" x14ac:dyDescent="0.2">
      <c r="A20" t="s">
        <v>187</v>
      </c>
      <c r="C20" s="36">
        <f>C19*(1-'2. Assumptions'!F43)+'2. Assumptions'!F44</f>
        <v>16989.973690000003</v>
      </c>
      <c r="D20" s="36">
        <f>D19*(1-'2. Assumptions'!F43)+'2. Assumptions'!F44</f>
        <v>15076.225592499999</v>
      </c>
      <c r="E20" s="36">
        <f>E19*(1-'2. Assumptions'!F43)+'2. Assumptions'!F44</f>
        <v>18603.017755000004</v>
      </c>
    </row>
    <row r="21" spans="1:6" x14ac:dyDescent="0.2">
      <c r="A21" t="s">
        <v>188</v>
      </c>
      <c r="C21" s="29">
        <f>C20/'2. Assumptions'!F47</f>
        <v>24.623150275362324</v>
      </c>
      <c r="D21" s="29">
        <f>D20/'2. Assumptions'!F47</f>
        <v>21.849602307971011</v>
      </c>
      <c r="E21" s="29">
        <f>E20/'2. Assumptions'!F47</f>
        <v>26.960895297101455</v>
      </c>
    </row>
    <row r="23" spans="1:6" x14ac:dyDescent="0.2">
      <c r="A23" s="4" t="s">
        <v>189</v>
      </c>
      <c r="B23" s="15"/>
      <c r="C23" s="15"/>
      <c r="D23" s="15"/>
      <c r="E23" s="15"/>
      <c r="F23" s="15"/>
    </row>
    <row r="24" spans="1:6" x14ac:dyDescent="0.2">
      <c r="A24" t="s">
        <v>185</v>
      </c>
      <c r="C24" s="36">
        <f>'2. Assumptions'!G15-'2. Assumptions'!G18*(1-C6)</f>
        <v>76770.303640000013</v>
      </c>
      <c r="D24" s="36">
        <f>'2. Assumptions'!G15-'2. Assumptions'!G18*(1-D6)</f>
        <v>74147.786080000005</v>
      </c>
      <c r="E24" s="36">
        <f>'2. Assumptions'!G15-'2. Assumptions'!G18*(1-E6)</f>
        <v>79392.821200000006</v>
      </c>
    </row>
    <row r="25" spans="1:6" x14ac:dyDescent="0.2">
      <c r="A25" t="s">
        <v>84</v>
      </c>
      <c r="C25" s="36">
        <f>C24-'2. Assumptions'!G26</f>
        <v>61288.70350600002</v>
      </c>
      <c r="D25" s="36">
        <f>D24-'2. Assumptions'!G26</f>
        <v>58666.185946000012</v>
      </c>
      <c r="E25" s="36">
        <f>E24-'2. Assumptions'!G26</f>
        <v>63911.221066000013</v>
      </c>
    </row>
    <row r="26" spans="1:6" x14ac:dyDescent="0.2">
      <c r="A26" t="s">
        <v>92</v>
      </c>
      <c r="C26" s="36">
        <f>'2. Assumptions'!G15*C8</f>
        <v>18657.312981999999</v>
      </c>
      <c r="D26" s="36">
        <f>'2. Assumptions'!G15*D8</f>
        <v>20642.133512000004</v>
      </c>
      <c r="E26" s="36">
        <f>'2. Assumptions'!G15*E8</f>
        <v>17466.420664000001</v>
      </c>
    </row>
    <row r="27" spans="1:6" x14ac:dyDescent="0.2">
      <c r="A27" t="s">
        <v>99</v>
      </c>
      <c r="C27" s="26">
        <f>C25-'2. Assumptions'!G30-C26-'2. Assumptions'!G34</f>
        <v>18972.329806400016</v>
      </c>
      <c r="D27" s="26">
        <f>D25-'2. Assumptions'!G30-D26-'2. Assumptions'!G34</f>
        <v>14364.991716400003</v>
      </c>
      <c r="E27" s="26">
        <f>E25-'2. Assumptions'!G30-E26-'2. Assumptions'!G34</f>
        <v>22785.739684400007</v>
      </c>
    </row>
    <row r="28" spans="1:6" x14ac:dyDescent="0.2">
      <c r="A28" t="s">
        <v>101</v>
      </c>
      <c r="C28" s="8">
        <f>C27/C24</f>
        <v>0.24713110287237119</v>
      </c>
      <c r="D28" s="8">
        <f>D27/D24</f>
        <v>0.19373460053009856</v>
      </c>
      <c r="E28" s="8">
        <f>E27/E24</f>
        <v>0.28700000000000009</v>
      </c>
    </row>
    <row r="29" spans="1:6" x14ac:dyDescent="0.2">
      <c r="A29" t="s">
        <v>187</v>
      </c>
      <c r="C29" s="36">
        <f>(C27+'2. Assumptions'!G39+'2. Assumptions'!G40)*(1-'2. Assumptions'!G43)+'2. Assumptions'!G44</f>
        <v>18746.480335440014</v>
      </c>
      <c r="D29" s="36">
        <f>(D27+'2. Assumptions'!G39+'2. Assumptions'!G40)*(1-'2. Assumptions'!G43)+'2. Assumptions'!G44</f>
        <v>14830.242958940002</v>
      </c>
      <c r="E29" s="36">
        <f>(E27+'2. Assumptions'!G39+'2. Assumptions'!G40)*(1-'2. Assumptions'!G43)+'2. Assumptions'!G44</f>
        <v>21987.878731740006</v>
      </c>
    </row>
    <row r="30" spans="1:6" x14ac:dyDescent="0.2">
      <c r="A30" t="s">
        <v>188</v>
      </c>
      <c r="C30" s="29">
        <f>C29/'2. Assumptions'!G47</f>
        <v>27.568353434470609</v>
      </c>
      <c r="D30" s="29">
        <f>D29/'2. Assumptions'!G47</f>
        <v>21.809180821970592</v>
      </c>
      <c r="E30" s="29">
        <f>E29/'2. Assumptions'!G47</f>
        <v>32.335115781970593</v>
      </c>
    </row>
    <row r="31" spans="1:6" x14ac:dyDescent="0.2">
      <c r="A31" s="5" t="s">
        <v>16</v>
      </c>
      <c r="C31" s="12">
        <f>C9</f>
        <v>15</v>
      </c>
      <c r="D31" s="12">
        <f>D9</f>
        <v>10</v>
      </c>
      <c r="E31" s="12">
        <f>E9</f>
        <v>18</v>
      </c>
    </row>
    <row r="32" spans="1:6" x14ac:dyDescent="0.2">
      <c r="C32" s="32" t="s">
        <v>171</v>
      </c>
      <c r="D32" s="6" t="s">
        <v>172</v>
      </c>
      <c r="E32" s="6" t="s">
        <v>173</v>
      </c>
    </row>
    <row r="33" spans="1:6" x14ac:dyDescent="0.2">
      <c r="A33" s="5" t="s">
        <v>190</v>
      </c>
      <c r="C33" s="29">
        <f>C30</f>
        <v>27.568353434470609</v>
      </c>
      <c r="D33" s="29">
        <f>D30</f>
        <v>21.809180821970592</v>
      </c>
      <c r="E33" s="29">
        <f>E30</f>
        <v>32.335115781970593</v>
      </c>
    </row>
    <row r="34" spans="1:6" x14ac:dyDescent="0.2">
      <c r="A34" s="37" t="s">
        <v>191</v>
      </c>
      <c r="C34" s="10">
        <f>C30*C31/'2. Assumptions'!F49</f>
        <v>61.172381881221767</v>
      </c>
      <c r="D34" s="38">
        <f>D30*D31/'2. Assumptions'!F49</f>
        <v>32.262101807648804</v>
      </c>
      <c r="E34" s="38">
        <f>E30*E31/'2. Assumptions'!F49</f>
        <v>86.099420721223481</v>
      </c>
    </row>
    <row r="35" spans="1:6" x14ac:dyDescent="0.2">
      <c r="A35" s="5" t="s">
        <v>192</v>
      </c>
      <c r="C35" s="11">
        <f>C34/46.47-1</f>
        <v>0.31638437446141099</v>
      </c>
      <c r="D35" s="39">
        <f>D34/46.47-1</f>
        <v>-0.30574345152466531</v>
      </c>
      <c r="E35" s="39">
        <f>E34/46.47-1</f>
        <v>0.85279579774528691</v>
      </c>
    </row>
    <row r="36" spans="1:6" x14ac:dyDescent="0.2">
      <c r="A36" t="s">
        <v>193</v>
      </c>
      <c r="C36" s="40">
        <f>C21*C31/'2. Assumptions'!F49</f>
        <v>54.63716777077439</v>
      </c>
      <c r="D36" s="7">
        <f>D21*D31/'2. Assumptions'!F49</f>
        <v>32.321896905282564</v>
      </c>
      <c r="E36" s="7">
        <f>E21*E31/'2. Assumptions'!F49</f>
        <v>71.789366175713937</v>
      </c>
    </row>
    <row r="37" spans="1:6" x14ac:dyDescent="0.2">
      <c r="A37" s="4" t="s">
        <v>194</v>
      </c>
    </row>
    <row r="38" spans="1:6" x14ac:dyDescent="0.2">
      <c r="A38" t="s">
        <v>195</v>
      </c>
      <c r="B38" s="8">
        <f>E35</f>
        <v>0.85279579774528691</v>
      </c>
    </row>
    <row r="39" spans="1:6" x14ac:dyDescent="0.2">
      <c r="A39" t="s">
        <v>196</v>
      </c>
      <c r="B39" s="8">
        <f>-D35</f>
        <v>0.30574345152466531</v>
      </c>
    </row>
    <row r="40" spans="1:6" x14ac:dyDescent="0.2">
      <c r="A40" t="s">
        <v>197</v>
      </c>
      <c r="B40" s="12">
        <f>E38/B39</f>
        <v>0</v>
      </c>
    </row>
    <row r="42" spans="1:6" x14ac:dyDescent="0.2">
      <c r="A42" s="2" t="s">
        <v>198</v>
      </c>
    </row>
    <row r="43" spans="1:6" x14ac:dyDescent="0.2">
      <c r="A43" s="2" t="s">
        <v>199</v>
      </c>
    </row>
    <row r="45" spans="1:6" x14ac:dyDescent="0.2">
      <c r="A45" s="4" t="s">
        <v>200</v>
      </c>
      <c r="B45" s="15"/>
      <c r="C45" s="15"/>
      <c r="D45" s="15"/>
      <c r="E45" s="15"/>
      <c r="F45" s="15"/>
    </row>
    <row r="46" spans="1:6" x14ac:dyDescent="0.2">
      <c r="A46" s="5"/>
      <c r="C46" s="32" t="s">
        <v>171</v>
      </c>
      <c r="D46" s="6" t="s">
        <v>172</v>
      </c>
      <c r="E46" s="6" t="s">
        <v>173</v>
      </c>
    </row>
    <row r="47" spans="1:6" x14ac:dyDescent="0.2">
      <c r="A47" t="s">
        <v>201</v>
      </c>
      <c r="C47" s="36">
        <f>'2. Assumptions'!G18</f>
        <v>26225.175600000002</v>
      </c>
      <c r="D47" s="36">
        <f>'2. Assumptions'!G18</f>
        <v>26225.175600000002</v>
      </c>
      <c r="E47" s="36">
        <f>'2. Assumptions'!G18</f>
        <v>26225.175600000002</v>
      </c>
    </row>
    <row r="48" spans="1:6" x14ac:dyDescent="0.2">
      <c r="A48" t="s">
        <v>202</v>
      </c>
      <c r="C48" s="8">
        <f>1-C6</f>
        <v>9.9999999999999978E-2</v>
      </c>
      <c r="D48" s="8">
        <f>1-D6</f>
        <v>0.19999999999999996</v>
      </c>
      <c r="E48" s="8">
        <f>1-E6</f>
        <v>0</v>
      </c>
    </row>
    <row r="49" spans="1:6" x14ac:dyDescent="0.2">
      <c r="A49" t="s">
        <v>203</v>
      </c>
      <c r="C49" s="36">
        <f>'2. Assumptions'!G18*(1-C6)</f>
        <v>2622.5175599999998</v>
      </c>
      <c r="D49" s="36">
        <f>'2. Assumptions'!G18*(1-D6)</f>
        <v>5245.0351199999996</v>
      </c>
      <c r="E49" s="36">
        <f>'2. Assumptions'!G18*(1-E6)</f>
        <v>0</v>
      </c>
    </row>
    <row r="50" spans="1:6" x14ac:dyDescent="0.2">
      <c r="A50" t="s">
        <v>204</v>
      </c>
      <c r="C50" s="8">
        <f>C8</f>
        <v>0.23499999999999999</v>
      </c>
      <c r="D50" s="8">
        <f>D8</f>
        <v>0.26</v>
      </c>
      <c r="E50" s="8">
        <f>E8</f>
        <v>0.22</v>
      </c>
    </row>
    <row r="51" spans="1:6" x14ac:dyDescent="0.2">
      <c r="A51" s="5"/>
      <c r="C51" s="39">
        <f>C28</f>
        <v>0.24713110287237119</v>
      </c>
      <c r="D51" s="39">
        <f>D28</f>
        <v>0.19373460053009856</v>
      </c>
      <c r="E51" s="39">
        <f>E28</f>
        <v>0.28700000000000009</v>
      </c>
    </row>
    <row r="53" spans="1:6" x14ac:dyDescent="0.2">
      <c r="A53" s="5" t="s">
        <v>205</v>
      </c>
    </row>
    <row r="54" spans="1:6" x14ac:dyDescent="0.2">
      <c r="A54" s="2" t="s">
        <v>206</v>
      </c>
    </row>
    <row r="55" spans="1:6" x14ac:dyDescent="0.2">
      <c r="A55" s="2" t="s">
        <v>207</v>
      </c>
    </row>
    <row r="56" spans="1:6" x14ac:dyDescent="0.2">
      <c r="A56" s="2" t="s">
        <v>208</v>
      </c>
    </row>
    <row r="57" spans="1:6" x14ac:dyDescent="0.2">
      <c r="A57" s="2" t="s">
        <v>209</v>
      </c>
    </row>
    <row r="58" spans="1:6" x14ac:dyDescent="0.2">
      <c r="A58" s="2" t="s">
        <v>210</v>
      </c>
    </row>
    <row r="59" spans="1:6" x14ac:dyDescent="0.2">
      <c r="A59" s="2" t="s">
        <v>211</v>
      </c>
    </row>
    <row r="61" spans="1:6" x14ac:dyDescent="0.2">
      <c r="A61" s="4" t="s">
        <v>212</v>
      </c>
      <c r="B61" s="15"/>
      <c r="C61" s="15"/>
      <c r="D61" s="15"/>
      <c r="E61" s="15"/>
      <c r="F61" s="15"/>
    </row>
    <row r="62" spans="1:6" x14ac:dyDescent="0.2">
      <c r="A62" s="5" t="s">
        <v>213</v>
      </c>
      <c r="B62" s="5" t="s">
        <v>214</v>
      </c>
      <c r="C62" s="6" t="s">
        <v>172</v>
      </c>
      <c r="D62" s="32" t="s">
        <v>171</v>
      </c>
      <c r="E62" s="6" t="s">
        <v>173</v>
      </c>
    </row>
    <row r="63" spans="1:6" x14ac:dyDescent="0.2">
      <c r="A63" t="s">
        <v>215</v>
      </c>
      <c r="B63" s="2" t="s">
        <v>216</v>
      </c>
      <c r="C63" s="31" t="s">
        <v>217</v>
      </c>
      <c r="D63" s="32" t="s">
        <v>218</v>
      </c>
      <c r="E63" s="31" t="s">
        <v>219</v>
      </c>
    </row>
    <row r="64" spans="1:6" x14ac:dyDescent="0.2">
      <c r="A64" t="s">
        <v>220</v>
      </c>
      <c r="B64" s="2" t="s">
        <v>221</v>
      </c>
      <c r="C64" s="41" t="s">
        <v>222</v>
      </c>
    </row>
    <row r="65" spans="1:5" x14ac:dyDescent="0.2">
      <c r="A65" t="s">
        <v>223</v>
      </c>
      <c r="B65" s="2" t="s">
        <v>224</v>
      </c>
      <c r="C65" s="31" t="s">
        <v>225</v>
      </c>
      <c r="D65" s="32" t="s">
        <v>226</v>
      </c>
      <c r="E65" s="31" t="s">
        <v>227</v>
      </c>
    </row>
    <row r="66" spans="1:5" x14ac:dyDescent="0.2">
      <c r="A66" t="s">
        <v>228</v>
      </c>
      <c r="B66" s="2" t="s">
        <v>229</v>
      </c>
      <c r="C66" s="31" t="s">
        <v>230</v>
      </c>
      <c r="D66" s="32" t="s">
        <v>231</v>
      </c>
      <c r="E66" s="31" t="s">
        <v>231</v>
      </c>
    </row>
    <row r="67" spans="1:5" x14ac:dyDescent="0.2">
      <c r="A67" t="s">
        <v>232</v>
      </c>
      <c r="B67" s="2" t="s">
        <v>233</v>
      </c>
      <c r="C67" s="31" t="s">
        <v>234</v>
      </c>
      <c r="D67" s="32" t="s">
        <v>235</v>
      </c>
      <c r="E67" s="31" t="s">
        <v>236</v>
      </c>
    </row>
    <row r="69" spans="1:5" x14ac:dyDescent="0.2">
      <c r="A69" s="2" t="s">
        <v>237</v>
      </c>
    </row>
    <row r="70" spans="1:5" x14ac:dyDescent="0.2">
      <c r="A70" s="2" t="s">
        <v>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9"/>
  <sheetViews>
    <sheetView workbookViewId="0"/>
  </sheetViews>
  <sheetFormatPr baseColWidth="10" defaultColWidth="8.83203125" defaultRowHeight="15" x14ac:dyDescent="0.2"/>
  <cols>
    <col min="1" max="1" width="40" customWidth="1"/>
    <col min="2" max="7" width="11" customWidth="1"/>
    <col min="8" max="8" width="40" customWidth="1"/>
  </cols>
  <sheetData>
    <row r="1" spans="1:2" ht="17" x14ac:dyDescent="0.2">
      <c r="A1" s="1" t="s">
        <v>239</v>
      </c>
    </row>
    <row r="2" spans="1:2" x14ac:dyDescent="0.2">
      <c r="A2" s="2" t="s">
        <v>240</v>
      </c>
    </row>
    <row r="4" spans="1:2" x14ac:dyDescent="0.2">
      <c r="A4" s="4" t="s">
        <v>241</v>
      </c>
    </row>
    <row r="5" spans="1:2" x14ac:dyDescent="0.2">
      <c r="A5" t="s">
        <v>242</v>
      </c>
      <c r="B5" s="42">
        <v>15.2</v>
      </c>
    </row>
    <row r="6" spans="1:2" x14ac:dyDescent="0.2">
      <c r="A6" t="s">
        <v>243</v>
      </c>
      <c r="B6" s="42">
        <v>18</v>
      </c>
    </row>
    <row r="7" spans="1:2" x14ac:dyDescent="0.2">
      <c r="A7" t="s">
        <v>244</v>
      </c>
      <c r="B7" s="42">
        <v>19</v>
      </c>
    </row>
    <row r="8" spans="1:2" x14ac:dyDescent="0.2">
      <c r="A8" t="s">
        <v>245</v>
      </c>
      <c r="B8" s="42">
        <v>17.100000000000001</v>
      </c>
    </row>
    <row r="9" spans="1:2" x14ac:dyDescent="0.2">
      <c r="A9" t="s">
        <v>246</v>
      </c>
      <c r="B9" s="42">
        <v>18.3</v>
      </c>
    </row>
    <row r="10" spans="1:2" x14ac:dyDescent="0.2">
      <c r="A10" t="s">
        <v>247</v>
      </c>
      <c r="B10" s="42">
        <v>14.2</v>
      </c>
    </row>
    <row r="11" spans="1:2" x14ac:dyDescent="0.2">
      <c r="A11" t="s">
        <v>248</v>
      </c>
      <c r="B11" s="42">
        <v>12.4</v>
      </c>
    </row>
    <row r="12" spans="1:2" x14ac:dyDescent="0.2">
      <c r="A12" s="2" t="s">
        <v>249</v>
      </c>
    </row>
    <row r="14" spans="1:2" x14ac:dyDescent="0.2">
      <c r="A14" s="4" t="s">
        <v>250</v>
      </c>
    </row>
    <row r="15" spans="1:2" x14ac:dyDescent="0.2">
      <c r="A15" t="s">
        <v>251</v>
      </c>
      <c r="B15" s="42">
        <v>15.25</v>
      </c>
    </row>
    <row r="16" spans="1:2" x14ac:dyDescent="0.2">
      <c r="A16" t="s">
        <v>252</v>
      </c>
      <c r="B16" s="42">
        <v>10.98</v>
      </c>
    </row>
    <row r="17" spans="1:3" x14ac:dyDescent="0.2">
      <c r="A17" t="s">
        <v>253</v>
      </c>
      <c r="B17" s="42">
        <v>25.32</v>
      </c>
    </row>
    <row r="18" spans="1:3" x14ac:dyDescent="0.2">
      <c r="A18" t="s">
        <v>254</v>
      </c>
      <c r="B18" s="42">
        <v>7.25</v>
      </c>
    </row>
    <row r="19" spans="1:3" x14ac:dyDescent="0.2">
      <c r="A19" t="s">
        <v>255</v>
      </c>
      <c r="B19" s="43" t="s">
        <v>256</v>
      </c>
    </row>
    <row r="20" spans="1:3" x14ac:dyDescent="0.2">
      <c r="A20" s="2" t="s">
        <v>257</v>
      </c>
    </row>
    <row r="22" spans="1:3" x14ac:dyDescent="0.2">
      <c r="A22" s="4" t="s">
        <v>258</v>
      </c>
    </row>
    <row r="23" spans="1:3" x14ac:dyDescent="0.2">
      <c r="A23" s="13" t="s">
        <v>259</v>
      </c>
      <c r="B23" s="14" t="s">
        <v>260</v>
      </c>
      <c r="C23" s="13" t="s">
        <v>261</v>
      </c>
    </row>
    <row r="24" spans="1:3" x14ac:dyDescent="0.2">
      <c r="A24" t="s">
        <v>262</v>
      </c>
      <c r="B24" s="24">
        <v>10</v>
      </c>
      <c r="C24" s="2"/>
    </row>
    <row r="25" spans="1:3" x14ac:dyDescent="0.2">
      <c r="A25" t="s">
        <v>263</v>
      </c>
      <c r="B25" s="35">
        <v>15</v>
      </c>
      <c r="C25" s="2" t="s">
        <v>264</v>
      </c>
    </row>
    <row r="26" spans="1:3" x14ac:dyDescent="0.2">
      <c r="A26" t="s">
        <v>265</v>
      </c>
      <c r="B26" s="24">
        <v>18</v>
      </c>
      <c r="C26" s="2"/>
    </row>
    <row r="28" spans="1:3" x14ac:dyDescent="0.2">
      <c r="A28" s="2" t="s">
        <v>266</v>
      </c>
    </row>
    <row r="30" spans="1:3" x14ac:dyDescent="0.2">
      <c r="A30" s="4" t="s">
        <v>267</v>
      </c>
    </row>
    <row r="31" spans="1:3" x14ac:dyDescent="0.2">
      <c r="A31" t="s">
        <v>268</v>
      </c>
      <c r="B31" s="36">
        <f>698*46.47*'2. Assumptions'!F49</f>
        <v>219267.76559999998</v>
      </c>
    </row>
    <row r="32" spans="1:3" x14ac:dyDescent="0.2">
      <c r="A32" t="s">
        <v>269</v>
      </c>
      <c r="B32" s="21">
        <v>-75000</v>
      </c>
    </row>
    <row r="33" spans="1:2" x14ac:dyDescent="0.2">
      <c r="A33" t="s">
        <v>270</v>
      </c>
      <c r="B33" s="21">
        <v>-22000</v>
      </c>
    </row>
    <row r="34" spans="1:2" x14ac:dyDescent="0.2">
      <c r="A34" t="s">
        <v>271</v>
      </c>
      <c r="B34" s="26">
        <f>B31+B32+B33</f>
        <v>122267.76559999998</v>
      </c>
    </row>
    <row r="35" spans="1:2" x14ac:dyDescent="0.2">
      <c r="A35" t="s">
        <v>272</v>
      </c>
      <c r="B35" s="36">
        <f>'4. Scenarios'!C27+900</f>
        <v>19872.329806400016</v>
      </c>
    </row>
    <row r="36" spans="1:2" x14ac:dyDescent="0.2">
      <c r="A36" t="s">
        <v>273</v>
      </c>
      <c r="B36" s="12">
        <f>B34/B35</f>
        <v>6.152663869367891</v>
      </c>
    </row>
    <row r="37" spans="1:2" x14ac:dyDescent="0.2">
      <c r="A37" t="s">
        <v>274</v>
      </c>
    </row>
    <row r="38" spans="1:2" x14ac:dyDescent="0.2">
      <c r="A38" t="s">
        <v>275</v>
      </c>
      <c r="B38" s="38">
        <f>(B35*11-B32-B33)/680/'2. Assumptions'!F49</f>
        <v>68.655505540898062</v>
      </c>
    </row>
    <row r="39" spans="1:2" x14ac:dyDescent="0.2">
      <c r="A39" s="2" t="s">
        <v>276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workbookViewId="0"/>
  </sheetViews>
  <sheetFormatPr baseColWidth="10" defaultColWidth="8.83203125" defaultRowHeight="15" x14ac:dyDescent="0.2"/>
  <cols>
    <col min="1" max="1" width="24" customWidth="1"/>
    <col min="2" max="6" width="11" customWidth="1"/>
  </cols>
  <sheetData>
    <row r="1" spans="1:6" ht="17" x14ac:dyDescent="0.2">
      <c r="A1" s="1" t="s">
        <v>277</v>
      </c>
    </row>
    <row r="3" spans="1:6" x14ac:dyDescent="0.2">
      <c r="A3" s="2" t="s">
        <v>278</v>
      </c>
    </row>
    <row r="5" spans="1:6" x14ac:dyDescent="0.2">
      <c r="A5" s="13" t="s">
        <v>279</v>
      </c>
      <c r="B5" s="44">
        <v>10</v>
      </c>
      <c r="C5" s="44">
        <v>12</v>
      </c>
      <c r="D5" s="44">
        <v>15</v>
      </c>
      <c r="E5" s="44">
        <v>16</v>
      </c>
      <c r="F5" s="44">
        <v>18</v>
      </c>
    </row>
    <row r="6" spans="1:6" x14ac:dyDescent="0.2">
      <c r="A6" s="3" t="s">
        <v>280</v>
      </c>
      <c r="B6" s="7">
        <f>(((('2. Assumptions'!G15-'2. Assumptions'!G18*(1-0.8)-'2. Assumptions'!G26-'2. Assumptions'!G30-'2. Assumptions'!G32-'2. Assumptions'!G34)+'2. Assumptions'!G39+'2. Assumptions'!G40)*(1-'2. Assumptions'!G43)+'2. Assumptions'!G44)/'2. Assumptions'!G47)*10/'2. Assumptions'!F49</f>
        <v>35.932258113122188</v>
      </c>
      <c r="C6" s="7">
        <f>(((('2. Assumptions'!G15-'2. Assumptions'!G18*(1-0.8)-'2. Assumptions'!G26-'2. Assumptions'!G30-'2. Assumptions'!G32-'2. Assumptions'!G34)+'2. Assumptions'!G39+'2. Assumptions'!G40)*(1-'2. Assumptions'!G43)+'2. Assumptions'!G44)/'2. Assumptions'!G47)*12/'2. Assumptions'!F49</f>
        <v>43.11870973574662</v>
      </c>
      <c r="D6" s="7">
        <f>(((('2. Assumptions'!G15-'2. Assumptions'!G18*(1-0.8)-'2. Assumptions'!G26-'2. Assumptions'!G30-'2. Assumptions'!G32-'2. Assumptions'!G34)+'2. Assumptions'!G39+'2. Assumptions'!G40)*(1-'2. Assumptions'!G43)+'2. Assumptions'!G44)/'2. Assumptions'!G47)*15/'2. Assumptions'!F49</f>
        <v>53.898387169683282</v>
      </c>
      <c r="E6" s="7">
        <f>(((('2. Assumptions'!G15-'2. Assumptions'!G18*(1-0.8)-'2. Assumptions'!G26-'2. Assumptions'!G30-'2. Assumptions'!G32-'2. Assumptions'!G34)+'2. Assumptions'!G39+'2. Assumptions'!G40)*(1-'2. Assumptions'!G43)+'2. Assumptions'!G44)/'2. Assumptions'!G47)*16/'2. Assumptions'!F49</f>
        <v>57.491612980995498</v>
      </c>
      <c r="F6" s="7">
        <f>(((('2. Assumptions'!G15-'2. Assumptions'!G18*(1-0.8)-'2. Assumptions'!G26-'2. Assumptions'!G30-'2. Assumptions'!G32-'2. Assumptions'!G34)+'2. Assumptions'!G39+'2. Assumptions'!G40)*(1-'2. Assumptions'!G43)+'2. Assumptions'!G44)/'2. Assumptions'!G47)*18/'2. Assumptions'!F49</f>
        <v>64.67806460361993</v>
      </c>
    </row>
    <row r="7" spans="1:6" x14ac:dyDescent="0.2">
      <c r="A7" s="3" t="s">
        <v>281</v>
      </c>
      <c r="B7" s="7">
        <f>(((('2. Assumptions'!G15-'2. Assumptions'!G18*(1-0.85)-'2. Assumptions'!G26-'2. Assumptions'!G30-'2. Assumptions'!G32-'2. Assumptions'!G34)+'2. Assumptions'!G39+'2. Assumptions'!G40)*(1-'2. Assumptions'!G43)+'2. Assumptions'!G44)/'2. Assumptions'!G47)*10/'2. Assumptions'!F49</f>
        <v>38.356923016968345</v>
      </c>
      <c r="C7" s="7">
        <f>(((('2. Assumptions'!G15-'2. Assumptions'!G18*(1-0.85)-'2. Assumptions'!G26-'2. Assumptions'!G30-'2. Assumptions'!G32-'2. Assumptions'!G34)+'2. Assumptions'!G39+'2. Assumptions'!G40)*(1-'2. Assumptions'!G43)+'2. Assumptions'!G44)/'2. Assumptions'!G47)*12/'2. Assumptions'!F49</f>
        <v>46.028307620362014</v>
      </c>
      <c r="D7" s="7">
        <f>(((('2. Assumptions'!G15-'2. Assumptions'!G18*(1-0.85)-'2. Assumptions'!G26-'2. Assumptions'!G30-'2. Assumptions'!G32-'2. Assumptions'!G34)+'2. Assumptions'!G39+'2. Assumptions'!G40)*(1-'2. Assumptions'!G43)+'2. Assumptions'!G44)/'2. Assumptions'!G47)*15/'2. Assumptions'!F49</f>
        <v>57.535384525452521</v>
      </c>
      <c r="E7" s="7">
        <f>(((('2. Assumptions'!G15-'2. Assumptions'!G18*(1-0.85)-'2. Assumptions'!G26-'2. Assumptions'!G30-'2. Assumptions'!G32-'2. Assumptions'!G34)+'2. Assumptions'!G39+'2. Assumptions'!G40)*(1-'2. Assumptions'!G43)+'2. Assumptions'!G44)/'2. Assumptions'!G47)*16/'2. Assumptions'!F49</f>
        <v>61.371076827149352</v>
      </c>
      <c r="F7" s="7">
        <f>(((('2. Assumptions'!G15-'2. Assumptions'!G18*(1-0.85)-'2. Assumptions'!G26-'2. Assumptions'!G30-'2. Assumptions'!G32-'2. Assumptions'!G34)+'2. Assumptions'!G39+'2. Assumptions'!G40)*(1-'2. Assumptions'!G43)+'2. Assumptions'!G44)/'2. Assumptions'!G47)*18/'2. Assumptions'!F49</f>
        <v>69.042461430543028</v>
      </c>
    </row>
    <row r="8" spans="1:6" x14ac:dyDescent="0.2">
      <c r="A8" s="3" t="s">
        <v>282</v>
      </c>
      <c r="B8" s="7">
        <f>(((('2. Assumptions'!G15-'2. Assumptions'!G18*(1-0.9)-'2. Assumptions'!G26-'2. Assumptions'!G30-'2. Assumptions'!G32-'2. Assumptions'!G34)+'2. Assumptions'!G39+'2. Assumptions'!G40)*(1-'2. Assumptions'!G43)+'2. Assumptions'!G44)/'2. Assumptions'!G47)*10/'2. Assumptions'!F49</f>
        <v>40.781587920814516</v>
      </c>
      <c r="C8" s="7">
        <f>(((('2. Assumptions'!G15-'2. Assumptions'!G18*(1-0.9)-'2. Assumptions'!G26-'2. Assumptions'!G30-'2. Assumptions'!G32-'2. Assumptions'!G34)+'2. Assumptions'!G39+'2. Assumptions'!G40)*(1-'2. Assumptions'!G43)+'2. Assumptions'!G44)/'2. Assumptions'!G47)*12/'2. Assumptions'!F49</f>
        <v>48.937905504977415</v>
      </c>
      <c r="D8" s="40">
        <f>(((('2. Assumptions'!G15-'2. Assumptions'!G18*(1-0.9)-'2. Assumptions'!G26-'2. Assumptions'!G30-'2. Assumptions'!G32-'2. Assumptions'!G34)+'2. Assumptions'!G39+'2. Assumptions'!G40)*(1-'2. Assumptions'!G43)+'2. Assumptions'!G44)/'2. Assumptions'!G47)*15/'2. Assumptions'!F49</f>
        <v>61.172381881221767</v>
      </c>
      <c r="E8" s="7">
        <f>(((('2. Assumptions'!G15-'2. Assumptions'!G18*(1-0.9)-'2. Assumptions'!G26-'2. Assumptions'!G30-'2. Assumptions'!G32-'2. Assumptions'!G34)+'2. Assumptions'!G39+'2. Assumptions'!G40)*(1-'2. Assumptions'!G43)+'2. Assumptions'!G44)/'2. Assumptions'!G47)*16/'2. Assumptions'!F49</f>
        <v>65.25054067330322</v>
      </c>
      <c r="F8" s="7">
        <f>(((('2. Assumptions'!G15-'2. Assumptions'!G18*(1-0.9)-'2. Assumptions'!G26-'2. Assumptions'!G30-'2. Assumptions'!G32-'2. Assumptions'!G34)+'2. Assumptions'!G39+'2. Assumptions'!G40)*(1-'2. Assumptions'!G43)+'2. Assumptions'!G44)/'2. Assumptions'!G47)*18/'2. Assumptions'!F49</f>
        <v>73.406858257466126</v>
      </c>
    </row>
    <row r="9" spans="1:6" x14ac:dyDescent="0.2">
      <c r="A9" s="3" t="s">
        <v>283</v>
      </c>
      <c r="B9" s="7">
        <f>(((('2. Assumptions'!G15-'2. Assumptions'!G18*(1-0.95)-'2. Assumptions'!G26-'2. Assumptions'!G30-'2. Assumptions'!G32-'2. Assumptions'!G34)+'2. Assumptions'!G39+'2. Assumptions'!G40)*(1-'2. Assumptions'!G43)+'2. Assumptions'!G44)/'2. Assumptions'!G47)*10/'2. Assumptions'!F49</f>
        <v>43.206252824660645</v>
      </c>
      <c r="C9" s="7">
        <f>(((('2. Assumptions'!G15-'2. Assumptions'!G18*(1-0.95)-'2. Assumptions'!G26-'2. Assumptions'!G30-'2. Assumptions'!G32-'2. Assumptions'!G34)+'2. Assumptions'!G39+'2. Assumptions'!G40)*(1-'2. Assumptions'!G43)+'2. Assumptions'!G44)/'2. Assumptions'!G47)*12/'2. Assumptions'!F49</f>
        <v>51.847503389592774</v>
      </c>
      <c r="D9" s="7">
        <f>(((('2. Assumptions'!G15-'2. Assumptions'!G18*(1-0.95)-'2. Assumptions'!G26-'2. Assumptions'!G30-'2. Assumptions'!G32-'2. Assumptions'!G34)+'2. Assumptions'!G39+'2. Assumptions'!G40)*(1-'2. Assumptions'!G43)+'2. Assumptions'!G44)/'2. Assumptions'!G47)*15/'2. Assumptions'!F49</f>
        <v>64.809379236990964</v>
      </c>
      <c r="E9" s="7">
        <f>(((('2. Assumptions'!G15-'2. Assumptions'!G18*(1-0.95)-'2. Assumptions'!G26-'2. Assumptions'!G30-'2. Assumptions'!G32-'2. Assumptions'!G34)+'2. Assumptions'!G39+'2. Assumptions'!G40)*(1-'2. Assumptions'!G43)+'2. Assumptions'!G44)/'2. Assumptions'!G47)*16/'2. Assumptions'!F49</f>
        <v>69.130004519457032</v>
      </c>
      <c r="F9" s="7">
        <f>(((('2. Assumptions'!G15-'2. Assumptions'!G18*(1-0.95)-'2. Assumptions'!G26-'2. Assumptions'!G30-'2. Assumptions'!G32-'2. Assumptions'!G34)+'2. Assumptions'!G39+'2. Assumptions'!G40)*(1-'2. Assumptions'!G43)+'2. Assumptions'!G44)/'2. Assumptions'!G47)*18/'2. Assumptions'!F49</f>
        <v>77.771255084389153</v>
      </c>
    </row>
    <row r="10" spans="1:6" x14ac:dyDescent="0.2">
      <c r="A10" s="3" t="s">
        <v>284</v>
      </c>
      <c r="B10" s="7">
        <f>(((('2. Assumptions'!G15-'2. Assumptions'!G18*(1-1)-'2. Assumptions'!G26-'2. Assumptions'!G30-'2. Assumptions'!G32-'2. Assumptions'!G34)+'2. Assumptions'!G39+'2. Assumptions'!G40)*(1-'2. Assumptions'!G43)+'2. Assumptions'!G44)/'2. Assumptions'!G47)*10/'2. Assumptions'!F49</f>
        <v>45.630917728506802</v>
      </c>
      <c r="C10" s="7">
        <f>(((('2. Assumptions'!G15-'2. Assumptions'!G18*(1-1)-'2. Assumptions'!G26-'2. Assumptions'!G30-'2. Assumptions'!G32-'2. Assumptions'!G34)+'2. Assumptions'!G39+'2. Assumptions'!G40)*(1-'2. Assumptions'!G43)+'2. Assumptions'!G44)/'2. Assumptions'!G47)*12/'2. Assumptions'!F49</f>
        <v>54.757101274208161</v>
      </c>
      <c r="D10" s="7">
        <f>(((('2. Assumptions'!G15-'2. Assumptions'!G18*(1-1)-'2. Assumptions'!G26-'2. Assumptions'!G30-'2. Assumptions'!G32-'2. Assumptions'!G34)+'2. Assumptions'!G39+'2. Assumptions'!G40)*(1-'2. Assumptions'!G43)+'2. Assumptions'!G44)/'2. Assumptions'!G47)*15/'2. Assumptions'!F49</f>
        <v>68.446376592760203</v>
      </c>
      <c r="E10" s="7">
        <f>(((('2. Assumptions'!G15-'2. Assumptions'!G18*(1-1)-'2. Assumptions'!G26-'2. Assumptions'!G30-'2. Assumptions'!G32-'2. Assumptions'!G34)+'2. Assumptions'!G39+'2. Assumptions'!G40)*(1-'2. Assumptions'!G43)+'2. Assumptions'!G44)/'2. Assumptions'!G47)*16/'2. Assumptions'!F49</f>
        <v>73.009468365610886</v>
      </c>
      <c r="F10" s="7">
        <f>(((('2. Assumptions'!G15-'2. Assumptions'!G18*(1-1)-'2. Assumptions'!G26-'2. Assumptions'!G30-'2. Assumptions'!G32-'2. Assumptions'!G34)+'2. Assumptions'!G39+'2. Assumptions'!G40)*(1-'2. Assumptions'!G43)+'2. Assumptions'!G44)/'2. Assumptions'!G47)*18/'2. Assumptions'!F49</f>
        <v>82.135651911312252</v>
      </c>
    </row>
    <row r="12" spans="1:6" x14ac:dyDescent="0.2">
      <c r="A12" s="2" t="s">
        <v>285</v>
      </c>
    </row>
    <row r="14" spans="1:6" x14ac:dyDescent="0.2">
      <c r="A14" s="4" t="s">
        <v>286</v>
      </c>
    </row>
    <row r="15" spans="1:6" x14ac:dyDescent="0.2">
      <c r="A15" t="s">
        <v>287</v>
      </c>
      <c r="B15" s="2" t="s">
        <v>288</v>
      </c>
    </row>
    <row r="16" spans="1:6" x14ac:dyDescent="0.2">
      <c r="A16" t="s">
        <v>289</v>
      </c>
      <c r="B16" s="2" t="s">
        <v>290</v>
      </c>
    </row>
    <row r="17" spans="1:6" x14ac:dyDescent="0.2">
      <c r="A17" t="s">
        <v>291</v>
      </c>
      <c r="B17" s="2" t="s">
        <v>292</v>
      </c>
    </row>
    <row r="18" spans="1:6" x14ac:dyDescent="0.2">
      <c r="A18" t="s">
        <v>293</v>
      </c>
      <c r="B18" s="2" t="s">
        <v>294</v>
      </c>
    </row>
    <row r="19" spans="1:6" x14ac:dyDescent="0.2">
      <c r="A19" s="2" t="s">
        <v>295</v>
      </c>
    </row>
    <row r="21" spans="1:6" x14ac:dyDescent="0.2">
      <c r="A21" s="4" t="s">
        <v>296</v>
      </c>
    </row>
    <row r="22" spans="1:6" x14ac:dyDescent="0.2">
      <c r="A22" s="5" t="s">
        <v>297</v>
      </c>
      <c r="B22" s="45">
        <v>7.1</v>
      </c>
      <c r="C22" s="45">
        <v>6.9</v>
      </c>
      <c r="D22" s="45">
        <v>6.76</v>
      </c>
      <c r="E22" s="45">
        <v>6.6</v>
      </c>
      <c r="F22" s="45">
        <v>6.4</v>
      </c>
    </row>
    <row r="23" spans="1:6" x14ac:dyDescent="0.2">
      <c r="A23" t="s">
        <v>298</v>
      </c>
      <c r="B23" s="7">
        <f>'4. Scenarios'!C30*'4. Scenarios'!C9/7.1</f>
        <v>58.2430002136703</v>
      </c>
      <c r="C23" s="7">
        <f>'4. Scenarios'!C30*'4. Scenarios'!C9/6.9</f>
        <v>59.931203118414359</v>
      </c>
      <c r="D23" s="40">
        <f>'4. Scenarios'!C30*'4. Scenarios'!C9/6.76</f>
        <v>61.172381881221767</v>
      </c>
      <c r="E23" s="7">
        <f>'4. Scenarios'!C30*'4. Scenarios'!C9/6.6</f>
        <v>62.65534871470593</v>
      </c>
      <c r="F23" s="7">
        <f>'4. Scenarios'!C30*'4. Scenarios'!C9/6.4</f>
        <v>64.613328362040477</v>
      </c>
    </row>
    <row r="24" spans="1:6" x14ac:dyDescent="0.2">
      <c r="A24" s="2" t="s">
        <v>299</v>
      </c>
    </row>
    <row r="25" spans="1:6" x14ac:dyDescent="0.2">
      <c r="A25" s="2" t="s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Cover</vt:lpstr>
      <vt:lpstr>2. Assumptions</vt:lpstr>
      <vt:lpstr>3. Income Statement</vt:lpstr>
      <vt:lpstr>4. Scenarios</vt:lpstr>
      <vt:lpstr>5. Multiples</vt:lpstr>
      <vt:lpstr>6. 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Zhu, Wenhao</cp:lastModifiedBy>
  <dcterms:created xsi:type="dcterms:W3CDTF">2026-06-14T01:26:21Z</dcterms:created>
  <dcterms:modified xsi:type="dcterms:W3CDTF">2026-06-14T12:01:32Z</dcterms:modified>
</cp:coreProperties>
</file>
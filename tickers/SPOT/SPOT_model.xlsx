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ver" sheetId="1" state="visible" r:id="rId1"/>
    <sheet xmlns:r="http://schemas.openxmlformats.org/officeDocument/2006/relationships" name="2. Assumptions" sheetId="2" state="visible" r:id="rId2"/>
    <sheet xmlns:r="http://schemas.openxmlformats.org/officeDocument/2006/relationships" name="3. Revenue" sheetId="3" state="visible" r:id="rId3"/>
    <sheet xmlns:r="http://schemas.openxmlformats.org/officeDocument/2006/relationships" name="4. GM Build" sheetId="4" state="visible" r:id="rId4"/>
    <sheet xmlns:r="http://schemas.openxmlformats.org/officeDocument/2006/relationships" name="5. 3-Statement Hist" sheetId="5" state="visible" r:id="rId5"/>
    <sheet xmlns:r="http://schemas.openxmlformats.org/officeDocument/2006/relationships" name="6. FCFF" sheetId="6" state="visible" r:id="rId6"/>
    <sheet xmlns:r="http://schemas.openxmlformats.org/officeDocument/2006/relationships" name="7. DCF" sheetId="7" state="visible" r:id="rId7"/>
    <sheet xmlns:r="http://schemas.openxmlformats.org/officeDocument/2006/relationships" name="8. Sensitivity" sheetId="8" state="visible" r:id="rId8"/>
    <sheet xmlns:r="http://schemas.openxmlformats.org/officeDocument/2006/relationships" name="9. Tornado" sheetId="9" state="visible" r:id="rId9"/>
    <sheet xmlns:r="http://schemas.openxmlformats.org/officeDocument/2006/relationships" name="10. Bull-Base-Bea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00"/>
    <numFmt numFmtId="165" formatCode="&quot;$&quot;#,##0;(&quot;$&quot;#,##0)"/>
    <numFmt numFmtId="166" formatCode="0.0%;(0.0%);-"/>
    <numFmt numFmtId="167" formatCode="0.0&quot;x&quot;"/>
    <numFmt numFmtId="168" formatCode="#,##0.0"/>
    <numFmt numFmtId="169" formatCode="#,##0;(#,##0);-"/>
    <numFmt numFmtId="170" formatCode="+#,##0;-#,##0;0"/>
    <numFmt numFmtId="171" formatCode="0.0000"/>
    <numFmt numFmtId="172" formatCode="&quot;€&quot;#,##0;(&quot;€&quot;#,##0)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sz val="12"/>
    </font>
    <font>
      <name val="Calibri"/>
      <color rgb="000000FF"/>
      <sz val="10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color rgb="00006100"/>
      <sz val="10"/>
    </font>
    <font>
      <name val="Calibri"/>
      <color rgb="00000000"/>
      <sz val="10"/>
    </font>
    <font>
      <name val="Calibri"/>
      <sz val="10"/>
    </font>
    <font>
      <name val="Calibri"/>
      <i val="1"/>
      <sz val="9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165" fontId="7" fillId="0" borderId="0" pivotButton="0" quotePrefix="0" xfId="0"/>
    <xf numFmtId="166" fontId="8" fillId="0" borderId="0" pivotButton="0" quotePrefix="0" xfId="0"/>
    <xf numFmtId="167" fontId="7" fillId="0" borderId="0" pivotButton="0" quotePrefix="0" xfId="0"/>
    <xf numFmtId="0" fontId="6" fillId="0" borderId="0" pivotButton="0" quotePrefix="0" xfId="0"/>
    <xf numFmtId="2" fontId="6" fillId="0" borderId="0" pivotButton="0" quotePrefix="0" xfId="0"/>
    <xf numFmtId="0" fontId="9" fillId="0" borderId="0" pivotButton="0" quotePrefix="0" xfId="0"/>
    <xf numFmtId="3" fontId="3" fillId="0" borderId="0" pivotButton="0" quotePrefix="0" xfId="0"/>
    <xf numFmtId="0" fontId="10" fillId="0" borderId="0" pivotButton="0" quotePrefix="0" xfId="0"/>
    <xf numFmtId="168" fontId="8" fillId="0" borderId="0" pivotButton="0" quotePrefix="0" xfId="0"/>
    <xf numFmtId="2" fontId="3" fillId="0" borderId="0" pivotButton="0" quotePrefix="0" xfId="0"/>
    <xf numFmtId="169" fontId="8" fillId="0" borderId="0" pivotButton="0" quotePrefix="0" xfId="0"/>
    <xf numFmtId="169" fontId="3" fillId="0" borderId="0" pivotButton="0" quotePrefix="0" xfId="0"/>
    <xf numFmtId="169" fontId="8" fillId="3" borderId="0" pivotButton="0" quotePrefix="0" xfId="0"/>
    <xf numFmtId="166" fontId="3" fillId="0" borderId="0" pivotButton="0" quotePrefix="0" xfId="0"/>
    <xf numFmtId="166" fontId="8" fillId="3" borderId="0" pivotButton="0" quotePrefix="0" xfId="0"/>
    <xf numFmtId="169" fontId="8" fillId="4" borderId="0" pivotButton="0" quotePrefix="0" xfId="0"/>
    <xf numFmtId="168" fontId="3" fillId="0" borderId="0" pivotButton="0" quotePrefix="0" xfId="0"/>
    <xf numFmtId="10" fontId="3" fillId="0" borderId="0" pivotButton="0" quotePrefix="0" xfId="0"/>
    <xf numFmtId="10" fontId="8" fillId="3" borderId="0" pivotButton="0" quotePrefix="0" xfId="0"/>
    <xf numFmtId="10" fontId="8" fillId="0" borderId="0" pivotButton="0" quotePrefix="0" xfId="0"/>
    <xf numFmtId="10" fontId="6" fillId="4" borderId="0" pivotButton="0" quotePrefix="0" xfId="0"/>
    <xf numFmtId="167" fontId="3" fillId="0" borderId="0" pivotButton="0" quotePrefix="0" xfId="0"/>
    <xf numFmtId="164" fontId="7" fillId="0" borderId="0" pivotButton="0" quotePrefix="0" xfId="0"/>
    <xf numFmtId="3" fontId="7" fillId="0" borderId="0" pivotButton="0" quotePrefix="0" xfId="0"/>
    <xf numFmtId="168" fontId="7" fillId="0" borderId="0" pivotButton="0" quotePrefix="0" xfId="0"/>
    <xf numFmtId="2" fontId="7" fillId="0" borderId="0" pivotButton="0" quotePrefix="0" xfId="0"/>
    <xf numFmtId="169" fontId="7" fillId="3" borderId="0" pivotButton="0" quotePrefix="0" xfId="0"/>
    <xf numFmtId="166" fontId="7" fillId="0" borderId="0" pivotButton="0" quotePrefix="0" xfId="0"/>
    <xf numFmtId="170" fontId="8" fillId="0" borderId="0" pivotButton="0" quotePrefix="0" xfId="0"/>
    <xf numFmtId="170" fontId="3" fillId="0" borderId="0" pivotButton="0" quotePrefix="0" xfId="0"/>
    <xf numFmtId="170" fontId="8" fillId="3" borderId="0" pivotButton="0" quotePrefix="0" xfId="0"/>
    <xf numFmtId="166" fontId="7" fillId="4" borderId="0" pivotButton="0" quotePrefix="0" xfId="0"/>
    <xf numFmtId="169" fontId="7" fillId="0" borderId="0" pivotButton="0" quotePrefix="0" xfId="0"/>
    <xf numFmtId="0" fontId="11" fillId="0" borderId="0" pivotButton="0" quotePrefix="0" xfId="0"/>
    <xf numFmtId="0" fontId="7" fillId="0" borderId="0" pivotButton="0" quotePrefix="0" xfId="0"/>
    <xf numFmtId="10" fontId="7" fillId="3" borderId="0" pivotButton="0" quotePrefix="0" xfId="0"/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71" fontId="8" fillId="0" borderId="0" pivotButton="0" quotePrefix="0" xfId="0"/>
    <xf numFmtId="169" fontId="6" fillId="4" borderId="0" pivotButton="0" quotePrefix="0" xfId="0"/>
    <xf numFmtId="172" fontId="6" fillId="3" borderId="0" pivotButton="0" quotePrefix="0" xfId="0"/>
    <xf numFmtId="165" fontId="6" fillId="4" borderId="0" pivotButton="0" quotePrefix="0" xfId="0"/>
    <xf numFmtId="166" fontId="6" fillId="0" borderId="0" pivotButton="0" quotePrefix="0" xfId="0"/>
    <xf numFmtId="167" fontId="8" fillId="0" borderId="0" pivotButton="0" quotePrefix="0" xfId="0"/>
    <xf numFmtId="10" fontId="7" fillId="0" borderId="0" pivotButton="0" quotePrefix="0" xfId="0"/>
    <xf numFmtId="167" fontId="3" fillId="0" borderId="0" applyAlignment="1" pivotButton="0" quotePrefix="0" xfId="0">
      <alignment horizontal="center" vertical="center"/>
    </xf>
    <xf numFmtId="165" fontId="8" fillId="0" borderId="0" pivotButton="0" quotePrefix="0" xfId="0"/>
    <xf numFmtId="10" fontId="3" fillId="3" borderId="0" pivotButton="0" quotePrefix="0" xfId="0"/>
    <xf numFmtId="2" fontId="3" fillId="0" borderId="0" applyAlignment="1" pivotButton="0" quotePrefix="0" xfId="0">
      <alignment horizontal="center" vertical="center"/>
    </xf>
    <xf numFmtId="166" fontId="3" fillId="3" borderId="0" pivotButton="0" quotePrefix="0" xfId="0"/>
    <xf numFmtId="164" fontId="3" fillId="0" borderId="0" applyAlignment="1" pivotButton="0" quotePrefix="0" xfId="0">
      <alignment horizontal="center" vertical="center"/>
    </xf>
    <xf numFmtId="169" fontId="6" fillId="3" borderId="0" pivotButton="0" quotePrefix="0" xfId="0"/>
    <xf numFmtId="2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Tornado: PT impact range by assumption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'9. Tornado'!E4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'9. Tornado'!$A$5:$A$15</f>
            </numRef>
          </cat>
          <val>
            <numRef>
              <f>'9. Tornado'!$E$5:$E$15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PT range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Assumption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SPOT — Spotify Technology SA</t>
        </is>
      </c>
    </row>
    <row r="2">
      <c r="A2" s="2" t="inlineStr">
        <is>
          <t>DCF model — FCFF / exit-multiple terminal</t>
        </is>
      </c>
    </row>
    <row r="4">
      <c r="A4" t="inlineStr">
        <is>
          <t>Valuation date</t>
        </is>
      </c>
      <c r="B4" s="3" t="inlineStr">
        <is>
          <t>2026-05-17</t>
        </is>
      </c>
    </row>
    <row r="5">
      <c r="A5" t="inlineStr">
        <is>
          <t>Working currency</t>
        </is>
      </c>
      <c r="B5" s="3" t="inlineStr">
        <is>
          <t>EUR (reporting)</t>
        </is>
      </c>
    </row>
    <row r="6">
      <c r="A6" t="inlineStr">
        <is>
          <t>Output currency</t>
        </is>
      </c>
      <c r="B6" s="3" t="inlineStr">
        <is>
          <t>USD (NYSE-listed)</t>
        </is>
      </c>
    </row>
    <row r="7">
      <c r="A7" t="inlineStr">
        <is>
          <t>FX (USD/EUR)</t>
        </is>
      </c>
      <c r="B7" s="4" t="n">
        <v>1.17</v>
      </c>
    </row>
    <row r="8">
      <c r="A8" t="inlineStr">
        <is>
          <t>Spot price</t>
        </is>
      </c>
      <c r="B8" s="5" t="n">
        <v>422.11</v>
      </c>
    </row>
    <row r="9">
      <c r="A9" t="inlineStr">
        <is>
          <t>Spot date</t>
        </is>
      </c>
      <c r="B9" s="3" t="inlineStr">
        <is>
          <t>2026-05-11</t>
        </is>
      </c>
    </row>
    <row r="11">
      <c r="A11" s="6" t="inlineStr">
        <is>
          <t>Key outputs</t>
        </is>
      </c>
    </row>
    <row r="12">
      <c r="A12" s="7" t="inlineStr">
        <is>
          <t>Scenario</t>
        </is>
      </c>
      <c r="B12" s="7" t="inlineStr">
        <is>
          <t>PT (USD)</t>
        </is>
      </c>
      <c r="C12" s="7" t="inlineStr">
        <is>
          <t>vs Spot</t>
        </is>
      </c>
      <c r="D12" s="7" t="inlineStr">
        <is>
          <t>Exit x</t>
        </is>
      </c>
    </row>
    <row r="13">
      <c r="A13" t="inlineStr">
        <is>
          <t>Bear</t>
        </is>
      </c>
      <c r="B13" s="8">
        <f>'10. Bull-Base-Bear'!B13</f>
        <v/>
      </c>
      <c r="C13" s="9">
        <f>B13/$B$8-1</f>
        <v/>
      </c>
      <c r="D13" s="10">
        <f>'10. Bull-Base-Bear'!B5</f>
        <v/>
      </c>
    </row>
    <row r="14">
      <c r="A14" s="11" t="inlineStr">
        <is>
          <t>Base (committed)</t>
        </is>
      </c>
      <c r="B14" s="8">
        <f>'10. Bull-Base-Bear'!C13</f>
        <v/>
      </c>
      <c r="C14" s="9">
        <f>B14/$B$8-1</f>
        <v/>
      </c>
      <c r="D14" s="10">
        <f>'10. Bull-Base-Bear'!C5</f>
        <v/>
      </c>
    </row>
    <row r="15">
      <c r="A15" t="inlineStr">
        <is>
          <t>Bull</t>
        </is>
      </c>
      <c r="B15" s="8">
        <f>'10. Bull-Base-Bear'!D13</f>
        <v/>
      </c>
      <c r="C15" s="9">
        <f>B15/$B$8-1</f>
        <v/>
      </c>
      <c r="D15" s="10">
        <f>'10. Bull-Base-Bear'!D5</f>
        <v/>
      </c>
    </row>
    <row r="17">
      <c r="A17" s="11" t="inlineStr">
        <is>
          <t>Asymmetric payoff skew</t>
        </is>
      </c>
    </row>
    <row r="18">
      <c r="A18" t="inlineStr">
        <is>
          <t>Upside = (Bull−Spot)/Spot</t>
        </is>
      </c>
      <c r="B18" s="9">
        <f>B15/$B$8-1</f>
        <v/>
      </c>
    </row>
    <row r="19">
      <c r="A19" t="inlineStr">
        <is>
          <t>Downside = (Spot−Bear)/Spot</t>
        </is>
      </c>
      <c r="B19" s="9">
        <f>1-B13/$B$8</f>
        <v/>
      </c>
    </row>
    <row r="20">
      <c r="A20" t="inlineStr">
        <is>
          <t>Skew (Up/Down)</t>
        </is>
      </c>
      <c r="B20" s="12">
        <f>B18/B19</f>
        <v/>
      </c>
    </row>
    <row r="22">
      <c r="A22" s="6" t="inlineStr">
        <is>
          <t>Methodology</t>
        </is>
      </c>
    </row>
    <row r="23">
      <c r="A23" t="inlineStr">
        <is>
          <t>Revenue: Premium (subs × ARPU × 12) + Ad-Supp (Free MAU × Ad ARPU × 12)</t>
        </is>
      </c>
    </row>
    <row r="24">
      <c r="A24" t="inlineStr">
        <is>
          <t>Forward forecast: FCFF only (EBIT(1−t) + D&amp;A − ΔWC − Capex)</t>
        </is>
      </c>
    </row>
    <row r="25">
      <c r="A25" t="inlineStr">
        <is>
          <t>Terminal value: exit EV/EBITDA × FY30E EBITDA (Gordon not used)</t>
        </is>
      </c>
    </row>
    <row r="26">
      <c r="A26" t="inlineStr">
        <is>
          <t>Discount: WACC mid-year convention from valuation date</t>
        </is>
      </c>
    </row>
    <row r="27">
      <c r="A27" t="inlineStr">
        <is>
          <t>Net debt: per 20-F (cash + ST investments − leases − EN settled cash Mar 2026)</t>
        </is>
      </c>
    </row>
    <row r="29">
      <c r="A29" s="6" t="inlineStr">
        <is>
          <t>Pillars (from working/pillars_audited.md)</t>
        </is>
      </c>
    </row>
    <row r="30">
      <c r="A30" t="inlineStr">
        <is>
          <t>P1 — Pricing power durability (+4-5% FXN ARPU FY26-28) — defensive</t>
        </is>
      </c>
    </row>
    <row r="31">
      <c r="A31" t="inlineStr">
        <is>
          <t>P2 — Consolidated GM expansion (base FY28E 35.8% within band 35.5-36.5% / bull 37.0-37.5%) — offensive</t>
        </is>
      </c>
    </row>
    <row r="32">
      <c r="A32" t="inlineStr">
        <is>
          <t>P3 — Premium sub volume ~25-26M/yr through FY28 — defensive</t>
        </is>
      </c>
    </row>
    <row r="34">
      <c r="A34" s="6" t="inlineStr">
        <is>
          <t>Counter-pillars (risks)</t>
        </is>
      </c>
    </row>
    <row r="35">
      <c r="A35" t="inlineStr">
        <is>
          <t>C1 — AI capex extends, OI margin trajectory impaired</t>
        </is>
      </c>
    </row>
    <row r="36">
      <c r="A36" t="inlineStr">
        <is>
          <t>C2 — Conversion-gap structural EM mix-shift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7" t="inlineStr">
        <is>
          <t>Driver</t>
        </is>
      </c>
      <c r="B1" s="7" t="inlineStr">
        <is>
          <t>FY21A</t>
        </is>
      </c>
      <c r="C1" s="7" t="inlineStr">
        <is>
          <t>FY22A</t>
        </is>
      </c>
      <c r="D1" s="7" t="inlineStr">
        <is>
          <t>FY23A</t>
        </is>
      </c>
      <c r="E1" s="7" t="inlineStr">
        <is>
          <t>FY24A</t>
        </is>
      </c>
      <c r="F1" s="7" t="inlineStr">
        <is>
          <t>FY25A</t>
        </is>
      </c>
      <c r="G1" s="7" t="inlineStr">
        <is>
          <t>FY26E</t>
        </is>
      </c>
      <c r="H1" s="7" t="inlineStr">
        <is>
          <t>FY27E</t>
        </is>
      </c>
      <c r="I1" s="7" t="inlineStr">
        <is>
          <t>FY28E</t>
        </is>
      </c>
      <c r="J1" s="7" t="inlineStr">
        <is>
          <t>FY29E</t>
        </is>
      </c>
      <c r="K1" s="7" t="inlineStr">
        <is>
          <t>FY30E</t>
        </is>
      </c>
      <c r="L1" s="7" t="inlineStr">
        <is>
          <t>Notes</t>
        </is>
      </c>
    </row>
    <row r="2">
      <c r="A2" s="13" t="inlineStr">
        <is>
          <t>Premium subs EOP (M)</t>
        </is>
      </c>
      <c r="B2" s="14" t="n">
        <v>180</v>
      </c>
      <c r="C2" s="14" t="n">
        <v>205</v>
      </c>
      <c r="D2" s="14" t="n">
        <v>236</v>
      </c>
      <c r="E2" s="14" t="n">
        <v>263</v>
      </c>
      <c r="F2" s="14" t="n">
        <v>290</v>
      </c>
      <c r="G2" s="14" t="n">
        <v>315</v>
      </c>
      <c r="H2" s="14" t="n">
        <v>340</v>
      </c>
      <c r="I2" s="14" t="n">
        <v>365</v>
      </c>
      <c r="J2" s="14" t="n">
        <v>387</v>
      </c>
      <c r="K2" s="14" t="n">
        <v>407</v>
      </c>
      <c r="L2" s="15" t="inlineStr">
        <is>
          <t>[Q4 25 letter; fwd: mgmt + my view]</t>
        </is>
      </c>
    </row>
    <row r="3">
      <c r="A3" s="13" t="inlineStr">
        <is>
          <t>MAU EOP (M)</t>
        </is>
      </c>
      <c r="B3" s="14" t="n">
        <v>406</v>
      </c>
      <c r="C3" s="14" t="n">
        <v>489</v>
      </c>
      <c r="D3" s="14" t="n">
        <v>602</v>
      </c>
      <c r="E3" s="14" t="n">
        <v>675</v>
      </c>
      <c r="F3" s="14" t="n">
        <v>751</v>
      </c>
      <c r="G3" s="14" t="n">
        <v>825</v>
      </c>
      <c r="H3" s="14" t="n">
        <v>890</v>
      </c>
      <c r="I3" s="14" t="n">
        <v>958</v>
      </c>
      <c r="J3" s="14" t="n">
        <v>1020</v>
      </c>
      <c r="K3" s="14" t="n">
        <v>1075</v>
      </c>
      <c r="L3" s="15" t="inlineStr">
        <is>
          <t>[FY21-23 est from earnings; FY24+ disclosed; fwd implied from Free MAU avg]</t>
        </is>
      </c>
    </row>
    <row r="4">
      <c r="A4" t="inlineStr">
        <is>
          <t>Avg Premium subs (M)</t>
        </is>
      </c>
      <c r="B4" s="16">
        <f>B2</f>
        <v/>
      </c>
      <c r="C4" s="16">
        <f>(B2+C2)/2</f>
        <v/>
      </c>
      <c r="D4" s="16">
        <f>(C2+D2)/2</f>
        <v/>
      </c>
      <c r="E4" s="16">
        <f>(D2+E2)/2</f>
        <v/>
      </c>
      <c r="F4" s="16">
        <f>(E2+F2)/2</f>
        <v/>
      </c>
      <c r="G4" s="16">
        <f>(F2+G2)/2</f>
        <v/>
      </c>
      <c r="H4" s="16">
        <f>(G2+H2)/2</f>
        <v/>
      </c>
      <c r="I4" s="16">
        <f>(H2+I2)/2</f>
        <v/>
      </c>
      <c r="J4" s="16">
        <f>(I2+J2)/2</f>
        <v/>
      </c>
      <c r="K4" s="16">
        <f>(J2+K2)/2</f>
        <v/>
      </c>
    </row>
    <row r="5">
      <c r="A5" s="13" t="inlineStr">
        <is>
          <t>Premium ARPU (€/mo)</t>
        </is>
      </c>
      <c r="B5" s="17" t="n">
        <v>4.36</v>
      </c>
      <c r="C5" s="17" t="n">
        <v>4.55</v>
      </c>
      <c r="D5" s="17" t="n">
        <v>4.66</v>
      </c>
      <c r="E5" s="17" t="n">
        <v>4.73</v>
      </c>
      <c r="F5" s="17" t="n">
        <v>4.63</v>
      </c>
      <c r="G5" s="17" t="n">
        <v>4.88</v>
      </c>
      <c r="H5" s="17" t="n">
        <v>5.1</v>
      </c>
      <c r="I5" s="17" t="n">
        <v>5.3</v>
      </c>
      <c r="J5" s="17" t="n">
        <v>5.5</v>
      </c>
      <c r="K5" s="17" t="n">
        <v>5.7</v>
      </c>
      <c r="L5" s="15" t="inlineStr">
        <is>
          <t>[Q1 26 mgmt guide +7-7.5% Y/Y; P1 defensive cadence]</t>
        </is>
      </c>
    </row>
    <row r="6">
      <c r="A6" s="11" t="inlineStr">
        <is>
          <t>Premium revenue (€M)</t>
        </is>
      </c>
      <c r="B6" s="18">
        <f>B4*B5*12</f>
        <v/>
      </c>
      <c r="C6" s="18">
        <f>C4*C5*12</f>
        <v/>
      </c>
      <c r="D6" s="18">
        <f>D4*D5*12</f>
        <v/>
      </c>
      <c r="E6" s="18">
        <f>E4*E5*12</f>
        <v/>
      </c>
      <c r="F6" s="18">
        <f>F4*F5*12</f>
        <v/>
      </c>
      <c r="G6" s="18">
        <f>G4*G5*12</f>
        <v/>
      </c>
      <c r="H6" s="18">
        <f>H4*H5*12</f>
        <v/>
      </c>
      <c r="I6" s="18">
        <f>I4*I5*12</f>
        <v/>
      </c>
      <c r="J6" s="18">
        <f>J4*J5*12</f>
        <v/>
      </c>
      <c r="K6" s="18">
        <f>K4*K5*12</f>
        <v/>
      </c>
    </row>
    <row r="7">
      <c r="A7" s="13" t="inlineStr">
        <is>
          <t>Free MAU avg (M)</t>
        </is>
      </c>
      <c r="C7" s="14" t="n">
        <v>255</v>
      </c>
      <c r="D7" s="14" t="n">
        <v>325</v>
      </c>
      <c r="E7" s="14" t="n">
        <v>389</v>
      </c>
      <c r="F7" s="14" t="n">
        <v>436</v>
      </c>
      <c r="G7" s="14" t="n">
        <v>485</v>
      </c>
      <c r="H7" s="14" t="n">
        <v>530</v>
      </c>
      <c r="I7" s="14" t="n">
        <v>568</v>
      </c>
      <c r="J7" s="14" t="n">
        <v>600</v>
      </c>
      <c r="K7" s="14" t="n">
        <v>625</v>
      </c>
      <c r="L7" s="15" t="inlineStr">
        <is>
          <t>[FY22-25 derived; fwd: enhanced free tier + EM]</t>
        </is>
      </c>
    </row>
    <row r="8">
      <c r="A8" s="13" t="inlineStr">
        <is>
          <t>Ad ARPU (€/mo)</t>
        </is>
      </c>
      <c r="C8" s="4" t="n">
        <v>0.482</v>
      </c>
      <c r="D8" s="4" t="n">
        <v>0.431</v>
      </c>
      <c r="E8" s="4" t="n">
        <v>0.397</v>
      </c>
      <c r="F8" s="4" t="n">
        <v>0.351</v>
      </c>
      <c r="G8" s="4" t="n">
        <v>0.34</v>
      </c>
      <c r="H8" s="4" t="n">
        <v>0.366</v>
      </c>
      <c r="I8" s="4" t="n">
        <v>0.397</v>
      </c>
      <c r="J8" s="4" t="n">
        <v>0.425</v>
      </c>
      <c r="K8" s="4" t="n">
        <v>0.45</v>
      </c>
      <c r="L8" s="15" t="inlineStr">
        <is>
          <t>[FY22-25 derived; fwd: biddable inflection FY27]</t>
        </is>
      </c>
    </row>
    <row r="9">
      <c r="A9" s="11" t="inlineStr">
        <is>
          <t>Ad-Supported revenue (€M)</t>
        </is>
      </c>
      <c r="B9" s="19" t="n">
        <v>1208</v>
      </c>
      <c r="C9" s="18">
        <f>C7*C8*12</f>
        <v/>
      </c>
      <c r="D9" s="18">
        <f>D7*D8*12</f>
        <v/>
      </c>
      <c r="E9" s="18">
        <f>E7*E8*12</f>
        <v/>
      </c>
      <c r="F9" s="18">
        <f>F7*F8*12</f>
        <v/>
      </c>
      <c r="G9" s="18">
        <f>G7*G8*12</f>
        <v/>
      </c>
      <c r="H9" s="18">
        <f>H7*H8*12</f>
        <v/>
      </c>
      <c r="I9" s="18">
        <f>I7*I8*12</f>
        <v/>
      </c>
      <c r="J9" s="18">
        <f>J7*J8*12</f>
        <v/>
      </c>
      <c r="K9" s="18">
        <f>K7*K8*12</f>
        <v/>
      </c>
    </row>
    <row r="10">
      <c r="A10" s="11" t="inlineStr">
        <is>
          <t>Total revenue (€M)</t>
        </is>
      </c>
      <c r="B10" s="20">
        <f>B6+B9</f>
        <v/>
      </c>
      <c r="C10" s="20">
        <f>C6+C9</f>
        <v/>
      </c>
      <c r="D10" s="20">
        <f>D6+D9</f>
        <v/>
      </c>
      <c r="E10" s="20">
        <f>E6+E9</f>
        <v/>
      </c>
      <c r="F10" s="20">
        <f>F6+F9</f>
        <v/>
      </c>
      <c r="G10" s="20">
        <f>G6+G9</f>
        <v/>
      </c>
      <c r="H10" s="20">
        <f>H6+H9</f>
        <v/>
      </c>
      <c r="I10" s="20">
        <f>I6+I9</f>
        <v/>
      </c>
      <c r="J10" s="20">
        <f>J6+J9</f>
        <v/>
      </c>
      <c r="K10" s="20">
        <f>K6+K9</f>
        <v/>
      </c>
    </row>
    <row r="11">
      <c r="A11" t="inlineStr">
        <is>
          <t>Revenue growth Y/Y</t>
        </is>
      </c>
      <c r="B11" t="inlineStr"/>
      <c r="C11" s="9">
        <f>C10/B10-1</f>
        <v/>
      </c>
      <c r="D11" s="9">
        <f>D10/C10-1</f>
        <v/>
      </c>
      <c r="E11" s="9">
        <f>E10/D10-1</f>
        <v/>
      </c>
      <c r="F11" s="9">
        <f>F10/E10-1</f>
        <v/>
      </c>
      <c r="G11" s="9">
        <f>G10/F10-1</f>
        <v/>
      </c>
      <c r="H11" s="9">
        <f>H10/G10-1</f>
        <v/>
      </c>
      <c r="I11" s="9">
        <f>I10/H10-1</f>
        <v/>
      </c>
      <c r="J11" s="9">
        <f>J10/I10-1</f>
        <v/>
      </c>
      <c r="K11" s="9">
        <f>K10/J10-1</f>
        <v/>
      </c>
    </row>
    <row r="13">
      <c r="A13" s="11" t="inlineStr">
        <is>
          <t>─── Margins ───</t>
        </is>
      </c>
    </row>
    <row r="14">
      <c r="A14" s="13" t="inlineStr">
        <is>
          <t>Premium segment GM</t>
        </is>
      </c>
      <c r="E14" s="21" t="n">
        <v>0.33</v>
      </c>
      <c r="F14" s="21" t="n">
        <v>0.34</v>
      </c>
      <c r="G14" s="21" t="n">
        <v>0.35</v>
      </c>
      <c r="H14" s="21" t="n">
        <v>0.362</v>
      </c>
      <c r="I14" s="21" t="n">
        <v>0.373</v>
      </c>
      <c r="J14" s="21" t="n">
        <v>0.378</v>
      </c>
      <c r="K14" s="21" t="n">
        <v>0.382</v>
      </c>
      <c r="L14" s="15" t="inlineStr">
        <is>
          <t>[FY25A 34.0%; FY28 37.3% TOP-DOWN anchor (CJ +170bps / Wolfe / mgmt LT band); 5th hike 2027 per KC P1.2; see GM Build tab]</t>
        </is>
      </c>
    </row>
    <row r="15">
      <c r="A15" s="13" t="inlineStr">
        <is>
          <t>Ad-Supported segment GM</t>
        </is>
      </c>
      <c r="E15" s="21" t="n">
        <v>0.14</v>
      </c>
      <c r="F15" s="21" t="n">
        <v>0.18</v>
      </c>
      <c r="G15" s="21" t="n">
        <v>0.15</v>
      </c>
      <c r="H15" s="21" t="n">
        <v>0.18</v>
      </c>
      <c r="I15" s="21" t="n">
        <v>0.21</v>
      </c>
      <c r="J15" s="21" t="n">
        <v>0.23</v>
      </c>
      <c r="K15" s="21" t="n">
        <v>0.25</v>
      </c>
      <c r="L15" s="15" t="inlineStr">
        <is>
          <t>[FY25A 18%; user-specified 21/23/25 FY28-30]</t>
        </is>
      </c>
    </row>
    <row r="16">
      <c r="A16" s="11" t="inlineStr">
        <is>
          <t>Consolidated GM</t>
        </is>
      </c>
      <c r="B16" s="21" t="n">
        <v>0.267</v>
      </c>
      <c r="C16" s="21" t="n">
        <v>0.244</v>
      </c>
      <c r="D16" s="21" t="n">
        <v>0.255</v>
      </c>
      <c r="E16" s="22">
        <f>(E6*E14+E9*E15)/E10</f>
        <v/>
      </c>
      <c r="F16" s="22">
        <f>(F6*F14+F9*F15)/F10</f>
        <v/>
      </c>
      <c r="G16" s="22">
        <f>(G6*G14+G9*G15)/G10</f>
        <v/>
      </c>
      <c r="H16" s="22">
        <f>(H6*H14+H9*H15)/H10</f>
        <v/>
      </c>
      <c r="I16" s="22">
        <f>(I6*I14+I9*I15)/I10</f>
        <v/>
      </c>
      <c r="J16" s="22">
        <f>(J6*J14+J9*J15)/J10</f>
        <v/>
      </c>
      <c r="K16" s="22">
        <f>(K6*K14+K9*K15)/K10</f>
        <v/>
      </c>
    </row>
    <row r="17">
      <c r="A17" s="11" t="inlineStr">
        <is>
          <t>Gross profit (€M)</t>
        </is>
      </c>
      <c r="B17" s="18">
        <f>B10*B16</f>
        <v/>
      </c>
      <c r="C17" s="18">
        <f>C10*C16</f>
        <v/>
      </c>
      <c r="D17" s="18">
        <f>D10*D16</f>
        <v/>
      </c>
      <c r="E17" s="18">
        <f>E10*E16</f>
        <v/>
      </c>
      <c r="F17" s="18">
        <f>F10*F16</f>
        <v/>
      </c>
      <c r="G17" s="18">
        <f>G10*G16</f>
        <v/>
      </c>
      <c r="H17" s="18">
        <f>H10*H16</f>
        <v/>
      </c>
      <c r="I17" s="18">
        <f>I10*I16</f>
        <v/>
      </c>
      <c r="J17" s="18">
        <f>J10*J16</f>
        <v/>
      </c>
      <c r="K17" s="18">
        <f>K10*K16</f>
        <v/>
      </c>
    </row>
    <row r="19">
      <c r="A19" s="11" t="inlineStr">
        <is>
          <t>─── OpEx ───</t>
        </is>
      </c>
    </row>
    <row r="20">
      <c r="A20" s="13" t="inlineStr">
        <is>
          <t>OpEx (% rev)</t>
        </is>
      </c>
      <c r="B20" s="21" t="n">
        <v>0.26</v>
      </c>
      <c r="C20" s="21" t="n">
        <v>0.296</v>
      </c>
      <c r="D20" s="21" t="n">
        <v>0.288</v>
      </c>
      <c r="E20" s="21" t="n">
        <v>0.243</v>
      </c>
      <c r="F20" s="21" t="n">
        <v>0.192</v>
      </c>
      <c r="G20" s="21" t="n">
        <v>0.191</v>
      </c>
      <c r="H20" s="21" t="n">
        <v>0.182</v>
      </c>
      <c r="I20" s="21" t="n">
        <v>0.175</v>
      </c>
      <c r="J20" s="21" t="n">
        <v>0.17</v>
      </c>
      <c r="K20" s="21" t="n">
        <v>0.164</v>
      </c>
      <c r="L20" s="15" t="inlineStr">
        <is>
          <t>[FY25A 20-F-derived; fwd AI step-up then leverage]</t>
        </is>
      </c>
    </row>
    <row r="21">
      <c r="A21" t="inlineStr">
        <is>
          <t>OpEx (€M)</t>
        </is>
      </c>
      <c r="B21" s="18">
        <f>B10*B20</f>
        <v/>
      </c>
      <c r="C21" s="18">
        <f>C10*C20</f>
        <v/>
      </c>
      <c r="D21" s="18">
        <f>D10*D20</f>
        <v/>
      </c>
      <c r="E21" s="18">
        <f>E10*E20</f>
        <v/>
      </c>
      <c r="F21" s="18">
        <f>F10*F20</f>
        <v/>
      </c>
      <c r="G21" s="18">
        <f>G10*G20</f>
        <v/>
      </c>
      <c r="H21" s="18">
        <f>H10*H20</f>
        <v/>
      </c>
      <c r="I21" s="18">
        <f>I10*I20</f>
        <v/>
      </c>
      <c r="J21" s="18">
        <f>J10*J20</f>
        <v/>
      </c>
      <c r="K21" s="18">
        <f>K10*K20</f>
        <v/>
      </c>
    </row>
    <row r="22">
      <c r="A22" s="11" t="inlineStr">
        <is>
          <t>EBIT (€M)</t>
        </is>
      </c>
      <c r="B22" s="23">
        <f>B17-B21</f>
        <v/>
      </c>
      <c r="C22" s="23">
        <f>C17-C21</f>
        <v/>
      </c>
      <c r="D22" s="23">
        <f>D17-D21</f>
        <v/>
      </c>
      <c r="E22" s="23">
        <f>E17-E21</f>
        <v/>
      </c>
      <c r="F22" s="23">
        <f>F17-F21</f>
        <v/>
      </c>
      <c r="G22" s="23">
        <f>G17-G21</f>
        <v/>
      </c>
      <c r="H22" s="23">
        <f>H17-H21</f>
        <v/>
      </c>
      <c r="I22" s="23">
        <f>I17-I21</f>
        <v/>
      </c>
      <c r="J22" s="23">
        <f>J17-J21</f>
        <v/>
      </c>
      <c r="K22" s="23">
        <f>K17-K21</f>
        <v/>
      </c>
    </row>
    <row r="23">
      <c r="A23" t="inlineStr">
        <is>
          <t>EBIT margin</t>
        </is>
      </c>
      <c r="B23" s="9">
        <f>B22/B10</f>
        <v/>
      </c>
      <c r="C23" s="9">
        <f>C22/C10</f>
        <v/>
      </c>
      <c r="D23" s="9">
        <f>D22/D10</f>
        <v/>
      </c>
      <c r="E23" s="9">
        <f>E22/E10</f>
        <v/>
      </c>
      <c r="F23" s="9">
        <f>F22/F10</f>
        <v/>
      </c>
      <c r="G23" s="9">
        <f>G22/G10</f>
        <v/>
      </c>
      <c r="H23" s="9">
        <f>H22/H10</f>
        <v/>
      </c>
      <c r="I23" s="9">
        <f>I22/I10</f>
        <v/>
      </c>
      <c r="J23" s="9">
        <f>J22/J10</f>
        <v/>
      </c>
      <c r="K23" s="9">
        <f>K22/K10</f>
        <v/>
      </c>
    </row>
    <row r="25">
      <c r="A25" s="11" t="inlineStr">
        <is>
          <t>─── FCFF build ───</t>
        </is>
      </c>
    </row>
    <row r="26">
      <c r="A26" s="13" t="inlineStr">
        <is>
          <t>Tax rate</t>
        </is>
      </c>
      <c r="F26" s="21" t="n">
        <v>0.005</v>
      </c>
      <c r="G26" s="21" t="n">
        <v>0.12</v>
      </c>
      <c r="H26" s="21" t="n">
        <v>0.2</v>
      </c>
      <c r="I26" s="21" t="n">
        <v>0.23</v>
      </c>
      <c r="J26" s="21" t="n">
        <v>0.23</v>
      </c>
      <c r="K26" s="21" t="n">
        <v>0.23</v>
      </c>
      <c r="L26" s="15" t="inlineStr">
        <is>
          <t>[FY25 NOL; norm to Lux 23.87%]</t>
        </is>
      </c>
    </row>
    <row r="27">
      <c r="A27" s="13" t="inlineStr">
        <is>
          <t>D&amp;A (€M)</t>
        </is>
      </c>
      <c r="D27" s="19" t="n">
        <v>158</v>
      </c>
      <c r="E27" s="19" t="n">
        <v>121</v>
      </c>
      <c r="F27" s="19" t="n">
        <v>102</v>
      </c>
      <c r="G27" s="19" t="n">
        <v>100</v>
      </c>
      <c r="H27" s="19" t="n">
        <v>105</v>
      </c>
      <c r="I27" s="19" t="n">
        <v>115</v>
      </c>
      <c r="J27" s="19" t="n">
        <v>120</v>
      </c>
      <c r="K27" s="19" t="n">
        <v>125</v>
      </c>
      <c r="L27" s="15" t="inlineStr">
        <is>
          <t>[20-F CF stmt; declining trend]</t>
        </is>
      </c>
    </row>
    <row r="28">
      <c r="A28" s="13" t="inlineStr">
        <is>
          <t>Δ Working Capital inflow (€M)</t>
        </is>
      </c>
      <c r="F28" s="19" t="n">
        <v>157</v>
      </c>
      <c r="G28" s="19" t="n">
        <v>170</v>
      </c>
      <c r="H28" s="19" t="n">
        <v>180</v>
      </c>
      <c r="I28" s="19" t="n">
        <v>170</v>
      </c>
      <c r="J28" s="19" t="n">
        <v>150</v>
      </c>
      <c r="K28" s="19" t="n">
        <v>120</v>
      </c>
      <c r="L28" s="15" t="inlineStr">
        <is>
          <t>[FY25 actual €157M]</t>
        </is>
      </c>
    </row>
    <row r="29">
      <c r="A29" s="13" t="inlineStr">
        <is>
          <t>Capex (€M)</t>
        </is>
      </c>
      <c r="D29" s="19" t="n">
        <v>91</v>
      </c>
      <c r="E29" s="19" t="n">
        <v>70</v>
      </c>
      <c r="F29" s="19" t="n">
        <v>61</v>
      </c>
      <c r="G29" s="19" t="n">
        <v>80</v>
      </c>
      <c r="H29" s="19" t="n">
        <v>90</v>
      </c>
      <c r="I29" s="19" t="n">
        <v>100</v>
      </c>
      <c r="J29" s="19" t="n">
        <v>110</v>
      </c>
      <c r="K29" s="19" t="n">
        <v>120</v>
      </c>
      <c r="L29" s="15" t="inlineStr">
        <is>
          <t>[20-F; asset-light; AI=OpEx not capex]</t>
        </is>
      </c>
    </row>
    <row r="30">
      <c r="A30" s="11" t="inlineStr">
        <is>
          <t>NOPAT (€M)</t>
        </is>
      </c>
      <c r="B30" s="18">
        <f>B22*(1-B26)</f>
        <v/>
      </c>
      <c r="C30" s="18">
        <f>C22*(1-C26)</f>
        <v/>
      </c>
      <c r="D30" s="18">
        <f>D22*(1-D26)</f>
        <v/>
      </c>
      <c r="E30" s="18">
        <f>E22*(1-E26)</f>
        <v/>
      </c>
      <c r="F30" s="18">
        <f>F22*(1-F26)</f>
        <v/>
      </c>
      <c r="G30" s="18">
        <f>G22*(1-G26)</f>
        <v/>
      </c>
      <c r="H30" s="18">
        <f>H22*(1-H26)</f>
        <v/>
      </c>
      <c r="I30" s="18">
        <f>I22*(1-I26)</f>
        <v/>
      </c>
      <c r="J30" s="18">
        <f>J22*(1-J26)</f>
        <v/>
      </c>
      <c r="K30" s="18">
        <f>K22*(1-K26)</f>
        <v/>
      </c>
    </row>
    <row r="31">
      <c r="A31" s="11" t="inlineStr">
        <is>
          <t>FCFF (€M)</t>
        </is>
      </c>
      <c r="B31" s="23">
        <f>B30+B27+B28-B29</f>
        <v/>
      </c>
      <c r="C31" s="23">
        <f>C30+C27+C28-C29</f>
        <v/>
      </c>
      <c r="D31" s="23">
        <f>D30+D27+D28-D29</f>
        <v/>
      </c>
      <c r="E31" s="23">
        <f>E30+E27+E28-E29</f>
        <v/>
      </c>
      <c r="F31" s="23">
        <f>F30+F27+F28-F29</f>
        <v/>
      </c>
      <c r="G31" s="23">
        <f>G30+G27+G28-G29</f>
        <v/>
      </c>
      <c r="H31" s="23">
        <f>H30+H27+H28-H29</f>
        <v/>
      </c>
      <c r="I31" s="23">
        <f>I30+I27+I28-I29</f>
        <v/>
      </c>
      <c r="J31" s="23">
        <f>J30+J27+J28-J29</f>
        <v/>
      </c>
      <c r="K31" s="23">
        <f>K30+K27+K28-K29</f>
        <v/>
      </c>
    </row>
    <row r="32">
      <c r="A32" t="inlineStr">
        <is>
          <t>FCFF margin</t>
        </is>
      </c>
      <c r="B32" s="9">
        <f>B31/B10</f>
        <v/>
      </c>
      <c r="C32" s="9">
        <f>C31/C10</f>
        <v/>
      </c>
      <c r="D32" s="9">
        <f>D31/D10</f>
        <v/>
      </c>
      <c r="E32" s="9">
        <f>E31/E10</f>
        <v/>
      </c>
      <c r="F32" s="9">
        <f>F31/F10</f>
        <v/>
      </c>
      <c r="G32" s="9">
        <f>G31/G10</f>
        <v/>
      </c>
      <c r="H32" s="9">
        <f>H31/H10</f>
        <v/>
      </c>
      <c r="I32" s="9">
        <f>I31/I10</f>
        <v/>
      </c>
      <c r="J32" s="9">
        <f>J31/J10</f>
        <v/>
      </c>
      <c r="K32" s="9">
        <f>K31/K10</f>
        <v/>
      </c>
    </row>
    <row r="33">
      <c r="A33" t="inlineStr">
        <is>
          <t>EBITDA (€M)</t>
        </is>
      </c>
      <c r="B33" s="18">
        <f>B22+B27</f>
        <v/>
      </c>
      <c r="C33" s="18">
        <f>C22+C27</f>
        <v/>
      </c>
      <c r="D33" s="18">
        <f>D22+D27</f>
        <v/>
      </c>
      <c r="E33" s="18">
        <f>E22+E27</f>
        <v/>
      </c>
      <c r="F33" s="18">
        <f>F22+F27</f>
        <v/>
      </c>
      <c r="G33" s="18">
        <f>G22+G27</f>
        <v/>
      </c>
      <c r="H33" s="18">
        <f>H22+H27</f>
        <v/>
      </c>
      <c r="I33" s="18">
        <f>I22+I27</f>
        <v/>
      </c>
      <c r="J33" s="18">
        <f>J22+J27</f>
        <v/>
      </c>
      <c r="K33" s="18">
        <f>K22+K27</f>
        <v/>
      </c>
    </row>
    <row r="35">
      <c r="A35" s="11" t="inlineStr">
        <is>
          <t>─── Capital structure ───</t>
        </is>
      </c>
    </row>
    <row r="36">
      <c r="A36" s="13" t="inlineStr">
        <is>
          <t>Diluted shares (M)</t>
        </is>
      </c>
      <c r="F36" s="24" t="n">
        <v>210.5</v>
      </c>
      <c r="G36" s="24" t="n">
        <v>211</v>
      </c>
      <c r="H36" s="24" t="n">
        <v>213</v>
      </c>
      <c r="I36" s="24" t="n">
        <v>215</v>
      </c>
      <c r="J36" s="24" t="n">
        <v>216</v>
      </c>
      <c r="K36" s="24" t="n">
        <v>218</v>
      </c>
      <c r="L36" s="15" t="inlineStr">
        <is>
          <t>[20-F Note 9; fwd SBC dilution net of buyback]</t>
        </is>
      </c>
    </row>
    <row r="38">
      <c r="A38" s="11" t="inlineStr">
        <is>
          <t>─── WACC inputs ───</t>
        </is>
      </c>
    </row>
    <row r="39">
      <c r="A39" t="inlineStr">
        <is>
          <t>Risk-free rate (German 10y Bund)</t>
        </is>
      </c>
      <c r="B39" s="25" t="n">
        <v>0.0307</v>
      </c>
    </row>
    <row r="40">
      <c r="A40" t="inlineStr">
        <is>
          <t>Beta (CapIQ 5Y levered)</t>
        </is>
      </c>
      <c r="B40" s="17" t="n">
        <v>1.55</v>
      </c>
    </row>
    <row r="41">
      <c r="A41" t="inlineStr">
        <is>
          <t>Equity risk premium (Europe DM)</t>
        </is>
      </c>
      <c r="B41" s="25" t="n">
        <v>0.05</v>
      </c>
    </row>
    <row r="42">
      <c r="A42" t="inlineStr">
        <is>
          <t>Cost of equity (CAPM)</t>
        </is>
      </c>
      <c r="B42" s="26">
        <f>B39+B40*B41</f>
        <v/>
      </c>
    </row>
    <row r="43">
      <c r="A43" t="inlineStr">
        <is>
          <t>Pre-tax cost of debt</t>
        </is>
      </c>
      <c r="B43" s="25" t="n">
        <v>0.062</v>
      </c>
    </row>
    <row r="44">
      <c r="A44" t="inlineStr">
        <is>
          <t>After-tax cost of debt</t>
        </is>
      </c>
      <c r="B44" s="27">
        <f>B43*(1-0.2387)</f>
        <v/>
      </c>
    </row>
    <row r="45">
      <c r="A45" t="inlineStr">
        <is>
          <t>Equity weight</t>
        </is>
      </c>
      <c r="B45" s="21" t="n">
        <v>0.994</v>
      </c>
    </row>
    <row r="46">
      <c r="A46" t="inlineStr">
        <is>
          <t>Debt weight</t>
        </is>
      </c>
      <c r="B46" s="9">
        <f>1-B45</f>
        <v/>
      </c>
    </row>
    <row r="47">
      <c r="A47" s="11" t="inlineStr">
        <is>
          <t>WACC</t>
        </is>
      </c>
      <c r="B47" s="28">
        <f>B42*B45+B44*B46</f>
        <v/>
      </c>
    </row>
    <row r="49">
      <c r="A49" s="11" t="inlineStr">
        <is>
          <t>─── Terminal &amp; Bridge ───</t>
        </is>
      </c>
    </row>
    <row r="50">
      <c r="A50" t="inlineStr">
        <is>
          <t>Exit EV/EBITDA (base)</t>
        </is>
      </c>
      <c r="B50" s="29" t="n">
        <v>18</v>
      </c>
    </row>
    <row r="51">
      <c r="A51" t="inlineStr">
        <is>
          <t>Exit EV/EBITDA (bull)</t>
        </is>
      </c>
      <c r="B51" s="29" t="n">
        <v>22</v>
      </c>
    </row>
    <row r="52">
      <c r="A52" t="inlineStr">
        <is>
          <t>Exit EV/EBITDA (bear)</t>
        </is>
      </c>
      <c r="B52" s="29" t="n">
        <v>14</v>
      </c>
    </row>
    <row r="53">
      <c r="A53" t="inlineStr">
        <is>
          <t>Net cash at val date (€M)</t>
        </is>
      </c>
      <c r="B53" s="19" t="n">
        <v>7500</v>
      </c>
    </row>
    <row r="54">
      <c r="A54" t="inlineStr">
        <is>
          <t>FX (USD/EUR)</t>
        </is>
      </c>
      <c r="B54" s="30">
        <f>'1. Cover'!B7</f>
        <v/>
      </c>
    </row>
    <row r="55">
      <c r="A55" t="inlineStr">
        <is>
          <t>Spot price (USD)</t>
        </is>
      </c>
      <c r="B55" s="8">
        <f>'1. Cover'!B8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7" t="inlineStr">
        <is>
          <t>Revenue build</t>
        </is>
      </c>
      <c r="B1" s="7" t="inlineStr">
        <is>
          <t>FY21A</t>
        </is>
      </c>
      <c r="C1" s="7" t="inlineStr">
        <is>
          <t>FY22A</t>
        </is>
      </c>
      <c r="D1" s="7" t="inlineStr">
        <is>
          <t>FY23A</t>
        </is>
      </c>
      <c r="E1" s="7" t="inlineStr">
        <is>
          <t>FY24A</t>
        </is>
      </c>
      <c r="F1" s="7" t="inlineStr">
        <is>
          <t>FY25A</t>
        </is>
      </c>
      <c r="G1" s="7" t="inlineStr">
        <is>
          <t>FY26E</t>
        </is>
      </c>
      <c r="H1" s="7" t="inlineStr">
        <is>
          <t>FY27E</t>
        </is>
      </c>
      <c r="I1" s="7" t="inlineStr">
        <is>
          <t>FY28E</t>
        </is>
      </c>
      <c r="J1" s="7" t="inlineStr">
        <is>
          <t>FY29E</t>
        </is>
      </c>
      <c r="K1" s="7" t="inlineStr">
        <is>
          <t>FY30E</t>
        </is>
      </c>
    </row>
    <row r="2">
      <c r="A2" s="11" t="inlineStr">
        <is>
          <t>─── Premium ───</t>
        </is>
      </c>
    </row>
    <row r="3">
      <c r="A3" t="inlineStr">
        <is>
          <t>Premium subs EOP (M)</t>
        </is>
      </c>
      <c r="B3" s="31">
        <f>'2. Assumptions'!B2</f>
        <v/>
      </c>
      <c r="C3" s="31">
        <f>'2. Assumptions'!C2</f>
        <v/>
      </c>
      <c r="D3" s="31">
        <f>'2. Assumptions'!D2</f>
        <v/>
      </c>
      <c r="E3" s="31">
        <f>'2. Assumptions'!E2</f>
        <v/>
      </c>
      <c r="F3" s="31">
        <f>'2. Assumptions'!F2</f>
        <v/>
      </c>
      <c r="G3" s="31">
        <f>'2. Assumptions'!G2</f>
        <v/>
      </c>
      <c r="H3" s="31">
        <f>'2. Assumptions'!H2</f>
        <v/>
      </c>
      <c r="I3" s="31">
        <f>'2. Assumptions'!I2</f>
        <v/>
      </c>
      <c r="J3" s="31">
        <f>'2. Assumptions'!J2</f>
        <v/>
      </c>
      <c r="K3" s="31">
        <f>'2. Assumptions'!K2</f>
        <v/>
      </c>
    </row>
    <row r="4">
      <c r="A4" t="inlineStr">
        <is>
          <t>Avg Premium subs (M)</t>
        </is>
      </c>
      <c r="B4" s="32">
        <f>'2. Assumptions'!B4</f>
        <v/>
      </c>
      <c r="C4" s="32">
        <f>'2. Assumptions'!C4</f>
        <v/>
      </c>
      <c r="D4" s="32">
        <f>'2. Assumptions'!D4</f>
        <v/>
      </c>
      <c r="E4" s="32">
        <f>'2. Assumptions'!E4</f>
        <v/>
      </c>
      <c r="F4" s="32">
        <f>'2. Assumptions'!F4</f>
        <v/>
      </c>
      <c r="G4" s="32">
        <f>'2. Assumptions'!G4</f>
        <v/>
      </c>
      <c r="H4" s="32">
        <f>'2. Assumptions'!H4</f>
        <v/>
      </c>
      <c r="I4" s="32">
        <f>'2. Assumptions'!I4</f>
        <v/>
      </c>
      <c r="J4" s="32">
        <f>'2. Assumptions'!J4</f>
        <v/>
      </c>
      <c r="K4" s="32">
        <f>'2. Assumptions'!K4</f>
        <v/>
      </c>
    </row>
    <row r="5">
      <c r="A5" t="inlineStr">
        <is>
          <t>Premium ARPU (€/mo)</t>
        </is>
      </c>
      <c r="B5" s="33">
        <f>'2. Assumptions'!B5</f>
        <v/>
      </c>
      <c r="C5" s="33">
        <f>'2. Assumptions'!C5</f>
        <v/>
      </c>
      <c r="D5" s="33">
        <f>'2. Assumptions'!D5</f>
        <v/>
      </c>
      <c r="E5" s="33">
        <f>'2. Assumptions'!E5</f>
        <v/>
      </c>
      <c r="F5" s="33">
        <f>'2. Assumptions'!F5</f>
        <v/>
      </c>
      <c r="G5" s="33">
        <f>'2. Assumptions'!G5</f>
        <v/>
      </c>
      <c r="H5" s="33">
        <f>'2. Assumptions'!H5</f>
        <v/>
      </c>
      <c r="I5" s="33">
        <f>'2. Assumptions'!I5</f>
        <v/>
      </c>
      <c r="J5" s="33">
        <f>'2. Assumptions'!J5</f>
        <v/>
      </c>
      <c r="K5" s="33">
        <f>'2. Assumptions'!K5</f>
        <v/>
      </c>
    </row>
    <row r="6">
      <c r="A6" s="11" t="inlineStr">
        <is>
          <t>Premium revenue (= avg subs × ARPU × 12)</t>
        </is>
      </c>
      <c r="B6" s="34">
        <f>'2. Assumptions'!B6</f>
        <v/>
      </c>
      <c r="C6" s="34">
        <f>'2. Assumptions'!C6</f>
        <v/>
      </c>
      <c r="D6" s="34">
        <f>'2. Assumptions'!D6</f>
        <v/>
      </c>
      <c r="E6" s="34">
        <f>'2. Assumptions'!E6</f>
        <v/>
      </c>
      <c r="F6" s="34">
        <f>'2. Assumptions'!F6</f>
        <v/>
      </c>
      <c r="G6" s="34">
        <f>'2. Assumptions'!G6</f>
        <v/>
      </c>
      <c r="H6" s="34">
        <f>'2. Assumptions'!H6</f>
        <v/>
      </c>
      <c r="I6" s="34">
        <f>'2. Assumptions'!I6</f>
        <v/>
      </c>
      <c r="J6" s="34">
        <f>'2. Assumptions'!J6</f>
        <v/>
      </c>
      <c r="K6" s="34">
        <f>'2. Assumptions'!K6</f>
        <v/>
      </c>
    </row>
    <row r="7">
      <c r="A7" t="inlineStr">
        <is>
          <t>Premium rev growth Y/Y</t>
        </is>
      </c>
      <c r="C7" s="9">
        <f>C6/B6-1</f>
        <v/>
      </c>
      <c r="D7" s="9">
        <f>D6/C6-1</f>
        <v/>
      </c>
      <c r="E7" s="9">
        <f>E6/D6-1</f>
        <v/>
      </c>
      <c r="F7" s="9">
        <f>F6/E6-1</f>
        <v/>
      </c>
      <c r="G7" s="9">
        <f>G6/F6-1</f>
        <v/>
      </c>
      <c r="H7" s="9">
        <f>H6/G6-1</f>
        <v/>
      </c>
      <c r="I7" s="9">
        <f>I6/H6-1</f>
        <v/>
      </c>
      <c r="J7" s="9">
        <f>J6/I6-1</f>
        <v/>
      </c>
      <c r="K7" s="9">
        <f>K6/J6-1</f>
        <v/>
      </c>
    </row>
    <row r="9">
      <c r="A9" s="11" t="inlineStr">
        <is>
          <t>─── Ad-Supported ───</t>
        </is>
      </c>
    </row>
    <row r="10">
      <c r="A10" t="inlineStr">
        <is>
          <t>MAU EOP (M)</t>
        </is>
      </c>
      <c r="B10" s="31">
        <f>'2. Assumptions'!B3</f>
        <v/>
      </c>
      <c r="C10" s="31">
        <f>'2. Assumptions'!C3</f>
        <v/>
      </c>
      <c r="D10" s="31">
        <f>'2. Assumptions'!D3</f>
        <v/>
      </c>
      <c r="E10" s="31">
        <f>'2. Assumptions'!E3</f>
        <v/>
      </c>
      <c r="F10" s="31">
        <f>'2. Assumptions'!F3</f>
        <v/>
      </c>
      <c r="G10" s="31">
        <f>'2. Assumptions'!G3</f>
        <v/>
      </c>
      <c r="H10" s="31">
        <f>'2. Assumptions'!H3</f>
        <v/>
      </c>
      <c r="I10" s="31">
        <f>'2. Assumptions'!I3</f>
        <v/>
      </c>
      <c r="J10" s="31">
        <f>'2. Assumptions'!J3</f>
        <v/>
      </c>
      <c r="K10" s="31">
        <f>'2. Assumptions'!K3</f>
        <v/>
      </c>
    </row>
    <row r="11">
      <c r="A11" t="inlineStr">
        <is>
          <t>Free MAU avg (M)</t>
        </is>
      </c>
      <c r="B11" s="31">
        <f>'2. Assumptions'!B7</f>
        <v/>
      </c>
      <c r="C11" s="31">
        <f>'2. Assumptions'!C7</f>
        <v/>
      </c>
      <c r="D11" s="31">
        <f>'2. Assumptions'!D7</f>
        <v/>
      </c>
      <c r="E11" s="31">
        <f>'2. Assumptions'!E7</f>
        <v/>
      </c>
      <c r="F11" s="31">
        <f>'2. Assumptions'!F7</f>
        <v/>
      </c>
      <c r="G11" s="31">
        <f>'2. Assumptions'!G7</f>
        <v/>
      </c>
      <c r="H11" s="31">
        <f>'2. Assumptions'!H7</f>
        <v/>
      </c>
      <c r="I11" s="31">
        <f>'2. Assumptions'!I7</f>
        <v/>
      </c>
      <c r="J11" s="31">
        <f>'2. Assumptions'!J7</f>
        <v/>
      </c>
      <c r="K11" s="31">
        <f>'2. Assumptions'!K7</f>
        <v/>
      </c>
    </row>
    <row r="12">
      <c r="A12" t="inlineStr">
        <is>
          <t>Ad ARPU (€/mo)</t>
        </is>
      </c>
      <c r="B12" s="30">
        <f>'2. Assumptions'!B8</f>
        <v/>
      </c>
      <c r="C12" s="30">
        <f>'2. Assumptions'!C8</f>
        <v/>
      </c>
      <c r="D12" s="30">
        <f>'2. Assumptions'!D8</f>
        <v/>
      </c>
      <c r="E12" s="30">
        <f>'2. Assumptions'!E8</f>
        <v/>
      </c>
      <c r="F12" s="30">
        <f>'2. Assumptions'!F8</f>
        <v/>
      </c>
      <c r="G12" s="30">
        <f>'2. Assumptions'!G8</f>
        <v/>
      </c>
      <c r="H12" s="30">
        <f>'2. Assumptions'!H8</f>
        <v/>
      </c>
      <c r="I12" s="30">
        <f>'2. Assumptions'!I8</f>
        <v/>
      </c>
      <c r="J12" s="30">
        <f>'2. Assumptions'!J8</f>
        <v/>
      </c>
      <c r="K12" s="30">
        <f>'2. Assumptions'!K8</f>
        <v/>
      </c>
    </row>
    <row r="13">
      <c r="A13" s="11" t="inlineStr">
        <is>
          <t>Ad-Supp revenue (= Free MAU × Ad ARPU × 12)</t>
        </is>
      </c>
      <c r="B13" s="34">
        <f>'2. Assumptions'!B9</f>
        <v/>
      </c>
      <c r="C13" s="34">
        <f>'2. Assumptions'!C9</f>
        <v/>
      </c>
      <c r="D13" s="34">
        <f>'2. Assumptions'!D9</f>
        <v/>
      </c>
      <c r="E13" s="34">
        <f>'2. Assumptions'!E9</f>
        <v/>
      </c>
      <c r="F13" s="34">
        <f>'2. Assumptions'!F9</f>
        <v/>
      </c>
      <c r="G13" s="34">
        <f>'2. Assumptions'!G9</f>
        <v/>
      </c>
      <c r="H13" s="34">
        <f>'2. Assumptions'!H9</f>
        <v/>
      </c>
      <c r="I13" s="34">
        <f>'2. Assumptions'!I9</f>
        <v/>
      </c>
      <c r="J13" s="34">
        <f>'2. Assumptions'!J9</f>
        <v/>
      </c>
      <c r="K13" s="34">
        <f>'2. Assumptions'!K9</f>
        <v/>
      </c>
    </row>
    <row r="14">
      <c r="A14" t="inlineStr">
        <is>
          <t>Ad-Supp rev growth Y/Y</t>
        </is>
      </c>
      <c r="C14" s="9">
        <f>C13/B13-1</f>
        <v/>
      </c>
      <c r="D14" s="9">
        <f>D13/C13-1</f>
        <v/>
      </c>
      <c r="E14" s="9">
        <f>E13/D13-1</f>
        <v/>
      </c>
      <c r="F14" s="9">
        <f>F13/E13-1</f>
        <v/>
      </c>
      <c r="G14" s="9">
        <f>G13/F13-1</f>
        <v/>
      </c>
      <c r="H14" s="9">
        <f>H13/G13-1</f>
        <v/>
      </c>
      <c r="I14" s="9">
        <f>I13/H13-1</f>
        <v/>
      </c>
      <c r="J14" s="9">
        <f>J13/I13-1</f>
        <v/>
      </c>
      <c r="K14" s="9">
        <f>K13/J13-1</f>
        <v/>
      </c>
    </row>
    <row r="16">
      <c r="A16" s="11" t="inlineStr">
        <is>
          <t>─── Total ───</t>
        </is>
      </c>
    </row>
    <row r="17">
      <c r="A17" s="11" t="inlineStr">
        <is>
          <t>Total revenue (€M)</t>
        </is>
      </c>
      <c r="B17" s="23">
        <f>B6+B13</f>
        <v/>
      </c>
      <c r="C17" s="23">
        <f>C6+C13</f>
        <v/>
      </c>
      <c r="D17" s="23">
        <f>D6+D13</f>
        <v/>
      </c>
      <c r="E17" s="23">
        <f>E6+E13</f>
        <v/>
      </c>
      <c r="F17" s="23">
        <f>F6+F13</f>
        <v/>
      </c>
      <c r="G17" s="23">
        <f>G6+G13</f>
        <v/>
      </c>
      <c r="H17" s="23">
        <f>H6+H13</f>
        <v/>
      </c>
      <c r="I17" s="23">
        <f>I6+I13</f>
        <v/>
      </c>
      <c r="J17" s="23">
        <f>J6+J13</f>
        <v/>
      </c>
      <c r="K17" s="23">
        <f>K6+K13</f>
        <v/>
      </c>
    </row>
    <row r="18">
      <c r="A18" t="inlineStr">
        <is>
          <t>Total rev growth Y/Y</t>
        </is>
      </c>
      <c r="C18" s="9">
        <f>C17/B17-1</f>
        <v/>
      </c>
      <c r="D18" s="9">
        <f>D17/C17-1</f>
        <v/>
      </c>
      <c r="E18" s="9">
        <f>E17/D17-1</f>
        <v/>
      </c>
      <c r="F18" s="9">
        <f>F17/E17-1</f>
        <v/>
      </c>
      <c r="G18" s="9">
        <f>G17/F17-1</f>
        <v/>
      </c>
      <c r="H18" s="9">
        <f>H17/G17-1</f>
        <v/>
      </c>
      <c r="I18" s="9">
        <f>I17/H17-1</f>
        <v/>
      </c>
      <c r="J18" s="9">
        <f>J17/I17-1</f>
        <v/>
      </c>
      <c r="K18" s="9">
        <f>K17/J17-1</f>
        <v/>
      </c>
    </row>
    <row r="19">
      <c r="A19" t="inlineStr">
        <is>
          <t>Premium % of total</t>
        </is>
      </c>
      <c r="B19" s="9">
        <f>B6/B17</f>
        <v/>
      </c>
      <c r="C19" s="9">
        <f>C6/C17</f>
        <v/>
      </c>
      <c r="D19" s="9">
        <f>D6/D17</f>
        <v/>
      </c>
      <c r="E19" s="9">
        <f>E6/E17</f>
        <v/>
      </c>
      <c r="F19" s="9">
        <f>F6/F17</f>
        <v/>
      </c>
      <c r="G19" s="9">
        <f>G6/G17</f>
        <v/>
      </c>
      <c r="H19" s="9">
        <f>H6/H17</f>
        <v/>
      </c>
      <c r="I19" s="9">
        <f>I6/I17</f>
        <v/>
      </c>
      <c r="J19" s="9">
        <f>J6/J17</f>
        <v/>
      </c>
      <c r="K19" s="9">
        <f>K6/K17</f>
        <v/>
      </c>
    </row>
    <row r="20">
      <c r="A20" t="inlineStr">
        <is>
          <t>Ad-Supp % of total</t>
        </is>
      </c>
      <c r="B20" s="9">
        <f>B13/B17</f>
        <v/>
      </c>
      <c r="C20" s="9">
        <f>C13/C17</f>
        <v/>
      </c>
      <c r="D20" s="9">
        <f>D13/D17</f>
        <v/>
      </c>
      <c r="E20" s="9">
        <f>E13/E17</f>
        <v/>
      </c>
      <c r="F20" s="9">
        <f>F13/F17</f>
        <v/>
      </c>
      <c r="G20" s="9">
        <f>G13/G17</f>
        <v/>
      </c>
      <c r="H20" s="9">
        <f>H13/H17</f>
        <v/>
      </c>
      <c r="I20" s="9">
        <f>I13/I17</f>
        <v/>
      </c>
      <c r="J20" s="9">
        <f>J13/J17</f>
        <v/>
      </c>
      <c r="K20" s="9">
        <f>K13/K17</f>
        <v/>
      </c>
    </row>
    <row r="22">
      <c r="A22" s="6" t="inlineStr">
        <is>
          <t>Notes</t>
        </is>
      </c>
    </row>
    <row r="23">
      <c r="A23" t="inlineStr">
        <is>
          <t>Both segments modeled as Volume × Rate × 12. Premium: subs × ARPU. Ad-Supp: Free MAU × Ad ARPU.</t>
        </is>
      </c>
    </row>
    <row r="24">
      <c r="A24" t="inlineStr">
        <is>
          <t>Premium ARPU FY26-28 anchored to Q1 26 mgmt guide +7-7.5% Y/Y (Q2 26 specific); P1 defensive cadence.</t>
        </is>
      </c>
    </row>
    <row r="25">
      <c r="A25" t="inlineStr">
        <is>
          <t>Ad-Supp historical Ad ARPU has been declining (€0.48/mo FY22 → €0.35 FY25) — biddable transition reverses trend FY27.</t>
        </is>
      </c>
    </row>
    <row r="26">
      <c r="A26" t="inlineStr">
        <is>
          <t>Ad-Supp +19% FY27 vs Wolfe +6%, Street +9% — my model takes Street side, not Wolfe.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7" t="inlineStr">
        <is>
          <t>Gross margin build</t>
        </is>
      </c>
      <c r="B1" s="7" t="inlineStr">
        <is>
          <t>FY21A</t>
        </is>
      </c>
      <c r="C1" s="7" t="inlineStr">
        <is>
          <t>FY22A</t>
        </is>
      </c>
      <c r="D1" s="7" t="inlineStr">
        <is>
          <t>FY23A</t>
        </is>
      </c>
      <c r="E1" s="7" t="inlineStr">
        <is>
          <t>FY24A</t>
        </is>
      </c>
      <c r="F1" s="7" t="inlineStr">
        <is>
          <t>FY25A</t>
        </is>
      </c>
      <c r="G1" s="7" t="inlineStr">
        <is>
          <t>FY26E</t>
        </is>
      </c>
      <c r="H1" s="7" t="inlineStr">
        <is>
          <t>FY27E</t>
        </is>
      </c>
      <c r="I1" s="7" t="inlineStr">
        <is>
          <t>FY28E</t>
        </is>
      </c>
      <c r="J1" s="7" t="inlineStr">
        <is>
          <t>FY29E</t>
        </is>
      </c>
      <c r="K1" s="7" t="inlineStr">
        <is>
          <t>FY30E</t>
        </is>
      </c>
    </row>
    <row r="2">
      <c r="A2" s="11" t="inlineStr">
        <is>
          <t>─── Premium segment GM ───</t>
        </is>
      </c>
    </row>
    <row r="3">
      <c r="A3" t="inlineStr">
        <is>
          <t>Premium GM (% of Premium rev)</t>
        </is>
      </c>
      <c r="B3" s="35">
        <f>'2. Assumptions'!B14</f>
        <v/>
      </c>
      <c r="C3" s="35">
        <f>'2. Assumptions'!C14</f>
        <v/>
      </c>
      <c r="D3" s="35">
        <f>'2. Assumptions'!D14</f>
        <v/>
      </c>
      <c r="E3" s="35">
        <f>'2. Assumptions'!E14</f>
        <v/>
      </c>
      <c r="F3" s="35">
        <f>'2. Assumptions'!F14</f>
        <v/>
      </c>
      <c r="G3" s="35">
        <f>'2. Assumptions'!G14</f>
        <v/>
      </c>
      <c r="H3" s="35">
        <f>'2. Assumptions'!H14</f>
        <v/>
      </c>
      <c r="I3" s="35">
        <f>'2. Assumptions'!I14</f>
        <v/>
      </c>
      <c r="J3" s="35">
        <f>'2. Assumptions'!J14</f>
        <v/>
      </c>
      <c r="K3" s="35">
        <f>'2. Assumptions'!K14</f>
        <v/>
      </c>
    </row>
    <row r="4">
      <c r="A4" t="inlineStr">
        <is>
          <t xml:space="preserve">  Y/Y change (bps)</t>
        </is>
      </c>
      <c r="C4" s="36">
        <f>(C3-B3)*10000</f>
        <v/>
      </c>
      <c r="D4" s="36">
        <f>(D3-C3)*10000</f>
        <v/>
      </c>
      <c r="E4" s="36">
        <f>(E3-D3)*10000</f>
        <v/>
      </c>
      <c r="F4" s="36">
        <f>(F3-E3)*10000</f>
        <v/>
      </c>
      <c r="G4" s="36">
        <f>(G3-F3)*10000</f>
        <v/>
      </c>
      <c r="H4" s="36">
        <f>(H3-G3)*10000</f>
        <v/>
      </c>
      <c r="I4" s="36">
        <f>(I3-H3)*10000</f>
        <v/>
      </c>
      <c r="J4" s="36">
        <f>(J3-I3)*10000</f>
        <v/>
      </c>
      <c r="K4" s="36">
        <f>(K3-J3)*10000</f>
        <v/>
      </c>
    </row>
    <row r="5">
      <c r="A5" s="15" t="inlineStr">
        <is>
          <t>FY28 GM = TOP-DOWN anchor: +170bps vs CJ Fig 28 | ±20bps vs Wolfe Exh 17 | inside mgmt LT band (IR Day 2030: 35-40%). NOT summed from levers.</t>
        </is>
      </c>
    </row>
    <row r="6">
      <c r="A6" s="15" t="inlineStr">
        <is>
          <t>Q1 26 Y/Y bridge (Bernstein Exh 7) — sourced current run-rate, foots 33.5% -&gt; 34.8% (+130bps):</t>
        </is>
      </c>
    </row>
    <row r="7">
      <c r="A7" s="15" t="inlineStr">
        <is>
          <t xml:space="preserve">  Pricing +490 | Music -200 | Audiobooks -70 | SPP/Podcasts -60 | Pay/Delivery -60 | Marketplace +40</t>
        </is>
      </c>
    </row>
    <row r="8">
      <c r="A8" s="15" t="inlineStr">
        <is>
          <t>Forward lever DIRECTION (qualitative, not summed): pricing decays (re-fed by 2027 5th hike) | music capped by 2025 renewals | audiobook eases | Marketplace accelerates | SPP rolls off | pay/delivery eases.</t>
        </is>
      </c>
    </row>
    <row r="13">
      <c r="A13" s="11" t="inlineStr">
        <is>
          <t>─── Ad-Supported segment GM ───</t>
        </is>
      </c>
    </row>
    <row r="14">
      <c r="A14" t="inlineStr">
        <is>
          <t>Ad-Supp GM (% of Ad-Supp rev)</t>
        </is>
      </c>
      <c r="B14" s="35">
        <f>'2. Assumptions'!B15</f>
        <v/>
      </c>
      <c r="C14" s="35">
        <f>'2. Assumptions'!C15</f>
        <v/>
      </c>
      <c r="D14" s="35">
        <f>'2. Assumptions'!D15</f>
        <v/>
      </c>
      <c r="E14" s="35">
        <f>'2. Assumptions'!E15</f>
        <v/>
      </c>
      <c r="F14" s="35">
        <f>'2. Assumptions'!F15</f>
        <v/>
      </c>
      <c r="G14" s="35">
        <f>'2. Assumptions'!G15</f>
        <v/>
      </c>
      <c r="H14" s="35">
        <f>'2. Assumptions'!H15</f>
        <v/>
      </c>
      <c r="I14" s="35">
        <f>'2. Assumptions'!I15</f>
        <v/>
      </c>
      <c r="J14" s="35">
        <f>'2. Assumptions'!J15</f>
        <v/>
      </c>
      <c r="K14" s="35">
        <f>'2. Assumptions'!K15</f>
        <v/>
      </c>
    </row>
    <row r="15">
      <c r="A15" t="inlineStr">
        <is>
          <t xml:space="preserve">  Y/Y change (bps)</t>
        </is>
      </c>
      <c r="C15" s="36">
        <f>(C14-B14)*10000</f>
        <v/>
      </c>
      <c r="D15" s="36">
        <f>(D14-C14)*10000</f>
        <v/>
      </c>
      <c r="E15" s="36">
        <f>(E14-D14)*10000</f>
        <v/>
      </c>
      <c r="F15" s="36">
        <f>(F14-E14)*10000</f>
        <v/>
      </c>
      <c r="G15" s="36">
        <f>(G14-F14)*10000</f>
        <v/>
      </c>
      <c r="H15" s="36">
        <f>(H14-G14)*10000</f>
        <v/>
      </c>
      <c r="I15" s="36">
        <f>(I14-H14)*10000</f>
        <v/>
      </c>
      <c r="J15" s="36">
        <f>(J14-I14)*10000</f>
        <v/>
      </c>
      <c r="K15" s="36">
        <f>(K14-J14)*10000</f>
        <v/>
      </c>
    </row>
    <row r="16">
      <c r="A16" t="inlineStr">
        <is>
          <t>Lever (a) Jan 2026 reclass (one-time)</t>
        </is>
      </c>
      <c r="G16" s="37" t="n">
        <v>-300</v>
      </c>
      <c r="H16" s="37" t="n">
        <v>0</v>
      </c>
      <c r="I16" s="37" t="n">
        <v>0</v>
      </c>
      <c r="J16" s="37" t="n">
        <v>0</v>
      </c>
      <c r="K16" s="37" t="n">
        <v>0</v>
      </c>
    </row>
    <row r="17">
      <c r="A17" t="inlineStr">
        <is>
          <t>Lever (b) Biddable / programmatic transition</t>
        </is>
      </c>
      <c r="G17" s="37" t="n">
        <v>100</v>
      </c>
      <c r="H17" s="37" t="n">
        <v>200</v>
      </c>
      <c r="I17" s="37" t="n">
        <v>220</v>
      </c>
      <c r="J17" s="37" t="n">
        <v>150</v>
      </c>
      <c r="K17" s="37" t="n">
        <v>120</v>
      </c>
    </row>
    <row r="18">
      <c r="A18" t="inlineStr">
        <is>
          <t>Lever (c) Podcast cost normalization</t>
        </is>
      </c>
      <c r="G18" s="37" t="n">
        <v>20</v>
      </c>
      <c r="H18" s="37" t="n">
        <v>30</v>
      </c>
      <c r="I18" s="37" t="n">
        <v>30</v>
      </c>
      <c r="J18" s="37" t="n">
        <v>20</v>
      </c>
      <c r="K18" s="37" t="n">
        <v>30</v>
      </c>
    </row>
    <row r="19">
      <c r="A19" t="inlineStr">
        <is>
          <t>Lever (d) Real estate impairment absence (FY25)</t>
        </is>
      </c>
      <c r="G19" s="37" t="n">
        <v>-200</v>
      </c>
      <c r="H19" s="37" t="n">
        <v>0</v>
      </c>
      <c r="I19" s="37" t="n">
        <v>0</v>
      </c>
      <c r="J19" s="37" t="n">
        <v>0</v>
      </c>
      <c r="K19" s="37" t="n">
        <v>0</v>
      </c>
    </row>
    <row r="20">
      <c r="A20" t="inlineStr">
        <is>
          <t>Lever (e) Music ad rates / Marketplace</t>
        </is>
      </c>
      <c r="G20" s="37" t="n">
        <v>80</v>
      </c>
      <c r="H20" s="37" t="n">
        <v>70</v>
      </c>
      <c r="I20" s="37" t="n">
        <v>50</v>
      </c>
      <c r="J20" s="37" t="n">
        <v>30</v>
      </c>
      <c r="K20" s="37" t="n">
        <v>50</v>
      </c>
    </row>
    <row r="21">
      <c r="A21" t="inlineStr">
        <is>
          <t>Sum of levers (check)</t>
        </is>
      </c>
      <c r="G21" s="38">
        <f>SUM(G16:G20)</f>
        <v/>
      </c>
      <c r="H21" s="38">
        <f>SUM(H16:H20)</f>
        <v/>
      </c>
      <c r="I21" s="38">
        <f>SUM(I16:I20)</f>
        <v/>
      </c>
      <c r="J21" s="38">
        <f>SUM(J16:J20)</f>
        <v/>
      </c>
      <c r="K21" s="38">
        <f>SUM(K16:K20)</f>
        <v/>
      </c>
    </row>
    <row r="23">
      <c r="A23" s="11" t="inlineStr">
        <is>
          <t>─── Consolidated GM ───</t>
        </is>
      </c>
    </row>
    <row r="24">
      <c r="A24" t="inlineStr">
        <is>
          <t>Premium % of revenue</t>
        </is>
      </c>
      <c r="B24" s="35">
        <f>'3. Revenue'!B19</f>
        <v/>
      </c>
      <c r="C24" s="35">
        <f>'3. Revenue'!C19</f>
        <v/>
      </c>
      <c r="D24" s="35">
        <f>'3. Revenue'!D19</f>
        <v/>
      </c>
      <c r="E24" s="35">
        <f>'3. Revenue'!E19</f>
        <v/>
      </c>
      <c r="F24" s="35">
        <f>'3. Revenue'!F19</f>
        <v/>
      </c>
      <c r="G24" s="35">
        <f>'3. Revenue'!G19</f>
        <v/>
      </c>
      <c r="H24" s="35">
        <f>'3. Revenue'!H19</f>
        <v/>
      </c>
      <c r="I24" s="35">
        <f>'3. Revenue'!I19</f>
        <v/>
      </c>
      <c r="J24" s="35">
        <f>'3. Revenue'!J19</f>
        <v/>
      </c>
      <c r="K24" s="35">
        <f>'3. Revenue'!K19</f>
        <v/>
      </c>
    </row>
    <row r="25">
      <c r="A25" t="inlineStr">
        <is>
          <t>Ad-Supp % of revenue</t>
        </is>
      </c>
      <c r="B25" s="35">
        <f>'3. Revenue'!B20</f>
        <v/>
      </c>
      <c r="C25" s="35">
        <f>'3. Revenue'!C20</f>
        <v/>
      </c>
      <c r="D25" s="35">
        <f>'3. Revenue'!D20</f>
        <v/>
      </c>
      <c r="E25" s="35">
        <f>'3. Revenue'!E20</f>
        <v/>
      </c>
      <c r="F25" s="35">
        <f>'3. Revenue'!F20</f>
        <v/>
      </c>
      <c r="G25" s="35">
        <f>'3. Revenue'!G20</f>
        <v/>
      </c>
      <c r="H25" s="35">
        <f>'3. Revenue'!H20</f>
        <v/>
      </c>
      <c r="I25" s="35">
        <f>'3. Revenue'!I20</f>
        <v/>
      </c>
      <c r="J25" s="35">
        <f>'3. Revenue'!J20</f>
        <v/>
      </c>
      <c r="K25" s="35">
        <f>'3. Revenue'!K20</f>
        <v/>
      </c>
    </row>
    <row r="26">
      <c r="A26" t="inlineStr">
        <is>
          <t>Consolidated GM</t>
        </is>
      </c>
      <c r="B26" s="39">
        <f>'2. Assumptions'!B16</f>
        <v/>
      </c>
      <c r="C26" s="39">
        <f>'2. Assumptions'!C16</f>
        <v/>
      </c>
      <c r="D26" s="39">
        <f>'2. Assumptions'!D16</f>
        <v/>
      </c>
      <c r="E26" s="39">
        <f>'2. Assumptions'!E16</f>
        <v/>
      </c>
      <c r="F26" s="39">
        <f>'2. Assumptions'!F16</f>
        <v/>
      </c>
      <c r="G26" s="39">
        <f>'2. Assumptions'!G16</f>
        <v/>
      </c>
      <c r="H26" s="39">
        <f>'2. Assumptions'!H16</f>
        <v/>
      </c>
      <c r="I26" s="39">
        <f>'2. Assumptions'!I16</f>
        <v/>
      </c>
      <c r="J26" s="39">
        <f>'2. Assumptions'!J16</f>
        <v/>
      </c>
      <c r="K26" s="39">
        <f>'2. Assumptions'!K16</f>
        <v/>
      </c>
    </row>
    <row r="28" ht="30" customHeight="1">
      <c r="A28" s="15" t="inlineStr">
        <is>
          <t>Note: Premium GM is set TOP-DOWN (FY28 37.3%, anchored vs CJ Fig 28 +170bps / Wolfe / mgmt LT band) with a sourced Q1 26 Bernstein bridge (Exh 7, foots) + qualitative forward direction (rows 5-8). Ad-Supp levers below DO foot to the rate. The engine drives off the GM rates in '2. Assumptions' rows 14-15.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Income Statement (€M)</t>
        </is>
      </c>
      <c r="B1" s="7" t="inlineStr">
        <is>
          <t>FY21A</t>
        </is>
      </c>
      <c r="C1" s="7" t="inlineStr">
        <is>
          <t>FY22A</t>
        </is>
      </c>
      <c r="D1" s="7" t="inlineStr">
        <is>
          <t>FY23A</t>
        </is>
      </c>
      <c r="E1" s="7" t="inlineStr">
        <is>
          <t>FY24A</t>
        </is>
      </c>
      <c r="F1" s="7" t="inlineStr">
        <is>
          <t>FY25A</t>
        </is>
      </c>
    </row>
    <row r="2">
      <c r="A2" t="inlineStr">
        <is>
          <t>Premium revenue</t>
        </is>
      </c>
      <c r="B2" s="19" t="n">
        <v>8460</v>
      </c>
      <c r="C2" s="19" t="n">
        <v>10251</v>
      </c>
      <c r="D2" s="19" t="n">
        <v>11566</v>
      </c>
      <c r="E2" s="19" t="n">
        <v>13819</v>
      </c>
      <c r="F2" s="19" t="n">
        <v>15350</v>
      </c>
    </row>
    <row r="3">
      <c r="A3" t="inlineStr">
        <is>
          <t>Ad-Supported revenue</t>
        </is>
      </c>
      <c r="B3" s="19" t="n">
        <v>1208</v>
      </c>
      <c r="C3" s="19" t="n">
        <v>1476</v>
      </c>
      <c r="D3" s="19" t="n">
        <v>1681</v>
      </c>
      <c r="E3" s="19" t="n">
        <v>1854</v>
      </c>
      <c r="F3" s="19" t="n">
        <v>1836</v>
      </c>
    </row>
    <row r="4">
      <c r="A4" s="11" t="inlineStr">
        <is>
          <t>Total revenue</t>
        </is>
      </c>
      <c r="B4" s="19" t="n">
        <v>9668</v>
      </c>
      <c r="C4" s="19" t="n">
        <v>11727</v>
      </c>
      <c r="D4" s="19" t="n">
        <v>13247</v>
      </c>
      <c r="E4" s="19" t="n">
        <v>15673</v>
      </c>
      <c r="F4" s="19" t="n">
        <v>17186</v>
      </c>
    </row>
    <row r="5">
      <c r="A5" t="inlineStr">
        <is>
          <t>Cost of revenue</t>
        </is>
      </c>
      <c r="B5" s="19" t="n">
        <v>7081</v>
      </c>
      <c r="C5" s="19" t="n">
        <v>8868</v>
      </c>
      <c r="D5" s="19" t="n">
        <v>9869</v>
      </c>
      <c r="E5" s="19" t="n">
        <v>11673</v>
      </c>
      <c r="F5" s="19" t="n">
        <v>11690</v>
      </c>
    </row>
    <row r="6">
      <c r="A6" s="11" t="inlineStr">
        <is>
          <t>Gross profit</t>
        </is>
      </c>
      <c r="B6" s="18">
        <f>B4-B5</f>
        <v/>
      </c>
      <c r="C6" s="18">
        <f>C4-C5</f>
        <v/>
      </c>
      <c r="D6" s="18">
        <f>D4-D5</f>
        <v/>
      </c>
      <c r="E6" s="18">
        <f>E4-E5</f>
        <v/>
      </c>
      <c r="F6" s="18">
        <f>F4-F5</f>
        <v/>
      </c>
    </row>
    <row r="7">
      <c r="A7" t="inlineStr">
        <is>
          <t>Gross margin</t>
        </is>
      </c>
      <c r="B7" s="9">
        <f>B6/B4</f>
        <v/>
      </c>
      <c r="C7" s="9">
        <f>C6/C4</f>
        <v/>
      </c>
      <c r="D7" s="9">
        <f>D6/D4</f>
        <v/>
      </c>
      <c r="E7" s="9">
        <f>E6/E4</f>
        <v/>
      </c>
      <c r="F7" s="9">
        <f>F6/F4</f>
        <v/>
      </c>
    </row>
    <row r="8">
      <c r="A8" t="inlineStr">
        <is>
          <t>R&amp;D</t>
        </is>
      </c>
      <c r="B8" s="19" t="n">
        <v>911</v>
      </c>
      <c r="C8" s="19" t="n">
        <v>1367</v>
      </c>
      <c r="D8" s="19" t="n">
        <v>1722</v>
      </c>
      <c r="E8" s="19" t="n">
        <v>1437</v>
      </c>
      <c r="F8" s="19" t="n">
        <v>1394</v>
      </c>
    </row>
    <row r="9">
      <c r="A9" t="inlineStr">
        <is>
          <t>Sales &amp; marketing</t>
        </is>
      </c>
      <c r="B9" s="19" t="n">
        <v>1135</v>
      </c>
      <c r="C9" s="19" t="n">
        <v>1572</v>
      </c>
      <c r="D9" s="19" t="n">
        <v>1853</v>
      </c>
      <c r="E9" s="19" t="n">
        <v>1359</v>
      </c>
      <c r="F9" s="19" t="n">
        <v>1428</v>
      </c>
    </row>
    <row r="10">
      <c r="A10" t="inlineStr">
        <is>
          <t>General &amp; administrative</t>
        </is>
      </c>
      <c r="B10" s="19" t="n">
        <v>487</v>
      </c>
      <c r="C10" s="19" t="n">
        <v>526</v>
      </c>
      <c r="D10" s="19" t="n">
        <v>600</v>
      </c>
      <c r="E10" s="19" t="n">
        <v>521</v>
      </c>
      <c r="F10" s="19" t="n">
        <v>478</v>
      </c>
    </row>
    <row r="11">
      <c r="A11" t="inlineStr">
        <is>
          <t>Operating expenses</t>
        </is>
      </c>
      <c r="B11" s="18">
        <f>B8+B9+B10</f>
        <v/>
      </c>
      <c r="C11" s="18">
        <f>C8+C9+C10</f>
        <v/>
      </c>
      <c r="D11" s="18">
        <f>D8+D9+D10</f>
        <v/>
      </c>
      <c r="E11" s="18">
        <f>E8+E9+E10</f>
        <v/>
      </c>
      <c r="F11" s="18">
        <f>F8+F9+F10</f>
        <v/>
      </c>
    </row>
    <row r="12">
      <c r="A12" s="11" t="inlineStr">
        <is>
          <t>Operating income (EBIT)</t>
        </is>
      </c>
      <c r="B12" s="20">
        <f>B6-B11</f>
        <v/>
      </c>
      <c r="C12" s="20">
        <f>C6-C11</f>
        <v/>
      </c>
      <c r="D12" s="20">
        <f>D6-D11</f>
        <v/>
      </c>
      <c r="E12" s="20">
        <f>E6-E11</f>
        <v/>
      </c>
      <c r="F12" s="20">
        <f>F6-F11</f>
        <v/>
      </c>
    </row>
    <row r="13">
      <c r="A13" t="inlineStr">
        <is>
          <t>EBIT margin</t>
        </is>
      </c>
      <c r="B13" s="9">
        <f>B12/B4</f>
        <v/>
      </c>
      <c r="C13" s="9">
        <f>C12/C4</f>
        <v/>
      </c>
      <c r="D13" s="9">
        <f>D12/D4</f>
        <v/>
      </c>
      <c r="E13" s="9">
        <f>E12/E4</f>
        <v/>
      </c>
      <c r="F13" s="9">
        <f>F12/F4</f>
        <v/>
      </c>
    </row>
    <row r="14">
      <c r="A14" t="inlineStr">
        <is>
          <t>Net financial items</t>
        </is>
      </c>
      <c r="B14" s="19" t="n">
        <v>-34</v>
      </c>
      <c r="C14" s="19" t="n">
        <v>-41</v>
      </c>
      <c r="D14" s="19" t="n">
        <v>286</v>
      </c>
      <c r="E14" s="19" t="n">
        <v>78</v>
      </c>
      <c r="F14" s="19" t="n">
        <v>-34</v>
      </c>
    </row>
    <row r="15">
      <c r="A15" t="inlineStr">
        <is>
          <t>Income tax expense / (benefit)</t>
        </is>
      </c>
      <c r="B15" s="19" t="n">
        <v>22</v>
      </c>
      <c r="C15" s="19" t="n">
        <v>-76</v>
      </c>
      <c r="D15" s="19" t="n">
        <v>-114</v>
      </c>
      <c r="E15" s="19" t="n">
        <v>27</v>
      </c>
      <c r="F15" s="19" t="n">
        <v>12</v>
      </c>
    </row>
    <row r="16">
      <c r="A16" s="11" t="inlineStr">
        <is>
          <t>Net income</t>
        </is>
      </c>
      <c r="B16" s="19" t="n">
        <v>-34</v>
      </c>
      <c r="C16" s="19" t="n">
        <v>-430</v>
      </c>
      <c r="D16" s="19" t="n">
        <v>-544</v>
      </c>
      <c r="E16" s="19" t="n">
        <v>1136</v>
      </c>
      <c r="F16" s="19" t="n">
        <v>1904</v>
      </c>
    </row>
    <row r="17">
      <c r="A17" t="inlineStr">
        <is>
          <t>Diluted shares (M)</t>
        </is>
      </c>
      <c r="B17" s="24" t="n">
        <v>192</v>
      </c>
      <c r="C17" s="24" t="n">
        <v>193</v>
      </c>
      <c r="D17" s="24" t="n">
        <v>192</v>
      </c>
      <c r="E17" s="24" t="n">
        <v>204</v>
      </c>
      <c r="F17" s="24" t="n">
        <v>210.5</v>
      </c>
    </row>
    <row r="18">
      <c r="A18" t="inlineStr">
        <is>
          <t>EPS diluted (€)</t>
        </is>
      </c>
      <c r="B18" s="17" t="n">
        <v>-0.18</v>
      </c>
      <c r="C18" s="17" t="n">
        <v>-2.23</v>
      </c>
      <c r="D18" s="17" t="n">
        <v>-2.83</v>
      </c>
      <c r="E18" s="17" t="n">
        <v>5.57</v>
      </c>
      <c r="F18" s="17" t="n">
        <v>9.039999999999999</v>
      </c>
    </row>
    <row r="20">
      <c r="A20" s="11" t="inlineStr">
        <is>
          <t>─── Cash flow highlights (€M) ───</t>
        </is>
      </c>
    </row>
    <row r="21">
      <c r="A21" t="inlineStr">
        <is>
          <t>Operating cash flow (OCF)</t>
        </is>
      </c>
      <c r="B21" s="19" t="n">
        <v>103</v>
      </c>
      <c r="C21" s="19" t="n">
        <v>37</v>
      </c>
      <c r="D21" s="19" t="n">
        <v>688</v>
      </c>
      <c r="E21" s="19" t="n">
        <v>2294</v>
      </c>
      <c r="F21" s="19" t="n">
        <v>2935</v>
      </c>
    </row>
    <row r="22">
      <c r="A22" t="inlineStr">
        <is>
          <t>Capex</t>
        </is>
      </c>
      <c r="B22" s="19" t="n">
        <v>-56</v>
      </c>
      <c r="C22" s="19" t="n">
        <v>-52</v>
      </c>
      <c r="D22" s="19" t="n">
        <v>-91</v>
      </c>
      <c r="E22" s="19" t="n">
        <v>-70</v>
      </c>
      <c r="F22" s="19" t="n">
        <v>-61</v>
      </c>
    </row>
    <row r="23">
      <c r="A23" t="inlineStr">
        <is>
          <t>Free cash flow (reported)</t>
        </is>
      </c>
      <c r="B23" s="19" t="n">
        <v>47</v>
      </c>
      <c r="C23" s="19" t="n">
        <v>-15</v>
      </c>
      <c r="D23" s="19" t="n">
        <v>597</v>
      </c>
      <c r="E23" s="19" t="n">
        <v>2284</v>
      </c>
      <c r="F23" s="19" t="n">
        <v>2874</v>
      </c>
    </row>
    <row r="24">
      <c r="A24" t="inlineStr">
        <is>
          <t>SBC (non-cash add-back in OCF)</t>
        </is>
      </c>
      <c r="B24" s="19" t="n">
        <v>388</v>
      </c>
      <c r="C24" s="19" t="n">
        <v>365</v>
      </c>
      <c r="D24" s="19" t="n">
        <v>322</v>
      </c>
      <c r="E24" s="19" t="n">
        <v>268</v>
      </c>
      <c r="F24" s="19" t="n">
        <v>248</v>
      </c>
    </row>
    <row r="25">
      <c r="A25" t="inlineStr">
        <is>
          <t>D&amp;A</t>
        </is>
      </c>
      <c r="B25" s="19" t="n">
        <v>158</v>
      </c>
      <c r="C25" s="19" t="n">
        <v>158</v>
      </c>
      <c r="D25" s="19" t="n">
        <v>158</v>
      </c>
      <c r="E25" s="19" t="n">
        <v>121</v>
      </c>
      <c r="F25" s="19" t="n">
        <v>102</v>
      </c>
    </row>
    <row r="26">
      <c r="A26" t="inlineStr">
        <is>
          <t>Δ Working capital</t>
        </is>
      </c>
      <c r="F26" s="19" t="n">
        <v>157</v>
      </c>
    </row>
    <row r="28">
      <c r="A28" s="11" t="inlineStr">
        <is>
          <t>─── Balance sheet highlights (€M, FY25 EOP) ───</t>
        </is>
      </c>
    </row>
    <row r="29">
      <c r="A29" t="inlineStr">
        <is>
          <t>Cash &amp; cash equivalents</t>
        </is>
      </c>
      <c r="B29" s="19" t="n">
        <v>5258</v>
      </c>
    </row>
    <row r="30">
      <c r="A30" t="inlineStr">
        <is>
          <t>Short-term investments</t>
        </is>
      </c>
      <c r="B30" s="19" t="n">
        <v>4209</v>
      </c>
    </row>
    <row r="31">
      <c r="A31" t="inlineStr">
        <is>
          <t>Total cash + ST investments</t>
        </is>
      </c>
      <c r="B31" s="20">
        <f>B29+B30</f>
        <v/>
      </c>
    </row>
    <row r="32">
      <c r="A32" t="inlineStr">
        <is>
          <t>Lease liabilities</t>
        </is>
      </c>
      <c r="B32" s="19" t="n">
        <v>498</v>
      </c>
    </row>
    <row r="33">
      <c r="A33" t="inlineStr">
        <is>
          <t>Exchangeable Notes (settled Mar 2026 cash)</t>
        </is>
      </c>
      <c r="B33" s="19" t="n">
        <v>1458</v>
      </c>
    </row>
    <row r="34">
      <c r="A34" t="inlineStr">
        <is>
          <t>Net cash FY25 EOP</t>
        </is>
      </c>
      <c r="B34" s="18">
        <f>B31-B32-B33</f>
        <v/>
      </c>
    </row>
    <row r="35">
      <c r="A35" t="inlineStr">
        <is>
          <t>Net cash at val date (post-EN cash settlement)</t>
        </is>
      </c>
      <c r="B35" s="23">
        <f>B34</f>
        <v/>
      </c>
    </row>
    <row r="37">
      <c r="A37" s="15" t="inlineStr">
        <is>
          <t>Source: 20-F audited FY25 [extraction in `extractions/20F_extraction.md`]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FCFF build (€M)</t>
        </is>
      </c>
      <c r="B1" s="7" t="inlineStr">
        <is>
          <t>FY26E</t>
        </is>
      </c>
      <c r="C1" s="7" t="inlineStr">
        <is>
          <t>FY27E</t>
        </is>
      </c>
      <c r="D1" s="7" t="inlineStr">
        <is>
          <t>FY28E</t>
        </is>
      </c>
      <c r="E1" s="7" t="inlineStr">
        <is>
          <t>FY29E</t>
        </is>
      </c>
      <c r="F1" s="7" t="inlineStr">
        <is>
          <t>FY30E</t>
        </is>
      </c>
    </row>
    <row r="2">
      <c r="A2" s="11" t="inlineStr">
        <is>
          <t>Revenue (€M)</t>
        </is>
      </c>
      <c r="B2" s="40">
        <f>'2. Assumptions'!G10</f>
        <v/>
      </c>
      <c r="C2" s="40">
        <f>'2. Assumptions'!H10</f>
        <v/>
      </c>
      <c r="D2" s="40">
        <f>'2. Assumptions'!I10</f>
        <v/>
      </c>
      <c r="E2" s="40">
        <f>'2. Assumptions'!J10</f>
        <v/>
      </c>
      <c r="F2" s="40">
        <f>'2. Assumptions'!K10</f>
        <v/>
      </c>
    </row>
    <row r="3">
      <c r="A3" s="41" t="inlineStr">
        <is>
          <t xml:space="preserve">  Y/Y growth</t>
        </is>
      </c>
      <c r="B3" s="35">
        <f>'2. Assumptions'!G11</f>
        <v/>
      </c>
      <c r="C3" s="35">
        <f>'2. Assumptions'!H11</f>
        <v/>
      </c>
      <c r="D3" s="35">
        <f>'2. Assumptions'!I11</f>
        <v/>
      </c>
      <c r="E3" s="35">
        <f>'2. Assumptions'!J11</f>
        <v/>
      </c>
      <c r="F3" s="35">
        <f>'2. Assumptions'!K11</f>
        <v/>
      </c>
    </row>
    <row r="4">
      <c r="A4" s="11" t="inlineStr">
        <is>
          <t>Consolidated GM</t>
        </is>
      </c>
      <c r="B4" s="35">
        <f>'2. Assumptions'!G16</f>
        <v/>
      </c>
      <c r="C4" s="35">
        <f>'2. Assumptions'!H16</f>
        <v/>
      </c>
      <c r="D4" s="35">
        <f>'2. Assumptions'!I16</f>
        <v/>
      </c>
      <c r="E4" s="35">
        <f>'2. Assumptions'!J16</f>
        <v/>
      </c>
      <c r="F4" s="35">
        <f>'2. Assumptions'!K16</f>
        <v/>
      </c>
    </row>
    <row r="5">
      <c r="A5" s="11" t="inlineStr">
        <is>
          <t>Gross profit</t>
        </is>
      </c>
      <c r="B5" s="20">
        <f>B2*B4</f>
        <v/>
      </c>
      <c r="C5" s="20">
        <f>C2*C4</f>
        <v/>
      </c>
      <c r="D5" s="20">
        <f>D2*D4</f>
        <v/>
      </c>
      <c r="E5" s="20">
        <f>E2*E4</f>
        <v/>
      </c>
      <c r="F5" s="20">
        <f>F2*F4</f>
        <v/>
      </c>
    </row>
    <row r="6">
      <c r="A6" s="11" t="inlineStr">
        <is>
          <t>OpEx (% rev)</t>
        </is>
      </c>
      <c r="B6" s="35">
        <f>'2. Assumptions'!G20</f>
        <v/>
      </c>
      <c r="C6" s="35">
        <f>'2. Assumptions'!H20</f>
        <v/>
      </c>
      <c r="D6" s="35">
        <f>'2. Assumptions'!I20</f>
        <v/>
      </c>
      <c r="E6" s="35">
        <f>'2. Assumptions'!J20</f>
        <v/>
      </c>
      <c r="F6" s="35">
        <f>'2. Assumptions'!K20</f>
        <v/>
      </c>
    </row>
    <row r="7">
      <c r="A7" s="11" t="inlineStr">
        <is>
          <t>OpEx (€M)</t>
        </is>
      </c>
      <c r="B7" s="18">
        <f>B2*B6</f>
        <v/>
      </c>
      <c r="C7" s="18">
        <f>C2*C6</f>
        <v/>
      </c>
      <c r="D7" s="18">
        <f>D2*D6</f>
        <v/>
      </c>
      <c r="E7" s="18">
        <f>E2*E6</f>
        <v/>
      </c>
      <c r="F7" s="18">
        <f>F2*F6</f>
        <v/>
      </c>
    </row>
    <row r="8">
      <c r="A8" s="11" t="inlineStr">
        <is>
          <t>EBIT</t>
        </is>
      </c>
      <c r="B8" s="20">
        <f>B5-B7</f>
        <v/>
      </c>
      <c r="C8" s="20">
        <f>C5-C7</f>
        <v/>
      </c>
      <c r="D8" s="20">
        <f>D5-D7</f>
        <v/>
      </c>
      <c r="E8" s="20">
        <f>E5-E7</f>
        <v/>
      </c>
      <c r="F8" s="20">
        <f>F5-F7</f>
        <v/>
      </c>
    </row>
    <row r="9">
      <c r="A9" s="41" t="inlineStr">
        <is>
          <t xml:space="preserve">  EBIT margin</t>
        </is>
      </c>
      <c r="B9" s="9">
        <f>B8/B2</f>
        <v/>
      </c>
      <c r="C9" s="9">
        <f>C8/C2</f>
        <v/>
      </c>
      <c r="D9" s="9">
        <f>D8/D2</f>
        <v/>
      </c>
      <c r="E9" s="9">
        <f>E8/E2</f>
        <v/>
      </c>
      <c r="F9" s="9">
        <f>F8/F2</f>
        <v/>
      </c>
    </row>
    <row r="10">
      <c r="A10" s="11" t="inlineStr">
        <is>
          <t>Tax rate</t>
        </is>
      </c>
      <c r="B10" s="35">
        <f>'2. Assumptions'!G26</f>
        <v/>
      </c>
      <c r="C10" s="35">
        <f>'2. Assumptions'!H26</f>
        <v/>
      </c>
      <c r="D10" s="35">
        <f>'2. Assumptions'!I26</f>
        <v/>
      </c>
      <c r="E10" s="35">
        <f>'2. Assumptions'!J26</f>
        <v/>
      </c>
      <c r="F10" s="35">
        <f>'2. Assumptions'!K26</f>
        <v/>
      </c>
    </row>
    <row r="11">
      <c r="A11" s="11" t="inlineStr">
        <is>
          <t>NOPAT = EBIT × (1−t)</t>
        </is>
      </c>
      <c r="B11" s="20">
        <f>B8*(1-B10)</f>
        <v/>
      </c>
      <c r="C11" s="20">
        <f>C8*(1-C10)</f>
        <v/>
      </c>
      <c r="D11" s="20">
        <f>D8*(1-D10)</f>
        <v/>
      </c>
      <c r="E11" s="20">
        <f>E8*(1-E10)</f>
        <v/>
      </c>
      <c r="F11" s="20">
        <f>F8*(1-F10)</f>
        <v/>
      </c>
    </row>
    <row r="12">
      <c r="A12" s="11" t="inlineStr">
        <is>
          <t>+ D&amp;A</t>
        </is>
      </c>
      <c r="B12" s="40">
        <f>'2. Assumptions'!G27</f>
        <v/>
      </c>
      <c r="C12" s="40">
        <f>'2. Assumptions'!H27</f>
        <v/>
      </c>
      <c r="D12" s="40">
        <f>'2. Assumptions'!I27</f>
        <v/>
      </c>
      <c r="E12" s="40">
        <f>'2. Assumptions'!J27</f>
        <v/>
      </c>
      <c r="F12" s="40">
        <f>'2. Assumptions'!K27</f>
        <v/>
      </c>
    </row>
    <row r="13">
      <c r="A13" s="11" t="inlineStr">
        <is>
          <t>− Δ Working capital</t>
        </is>
      </c>
      <c r="B13" s="40">
        <f>'2. Assumptions'!G28</f>
        <v/>
      </c>
      <c r="C13" s="40">
        <f>'2. Assumptions'!H28</f>
        <v/>
      </c>
      <c r="D13" s="40">
        <f>'2. Assumptions'!I28</f>
        <v/>
      </c>
      <c r="E13" s="40">
        <f>'2. Assumptions'!J28</f>
        <v/>
      </c>
      <c r="F13" s="40">
        <f>'2. Assumptions'!K28</f>
        <v/>
      </c>
    </row>
    <row r="14">
      <c r="A14" s="11" t="inlineStr">
        <is>
          <t>− Capex</t>
        </is>
      </c>
      <c r="B14" s="40">
        <f>-'2. Assumptions'!G29</f>
        <v/>
      </c>
      <c r="C14" s="40">
        <f>-'2. Assumptions'!H29</f>
        <v/>
      </c>
      <c r="D14" s="40">
        <f>-'2. Assumptions'!I29</f>
        <v/>
      </c>
      <c r="E14" s="40">
        <f>-'2. Assumptions'!J29</f>
        <v/>
      </c>
      <c r="F14" s="40">
        <f>-'2. Assumptions'!K29</f>
        <v/>
      </c>
    </row>
    <row r="15">
      <c r="A15" s="11" t="inlineStr">
        <is>
          <t>FCFF (€M)</t>
        </is>
      </c>
      <c r="B15" s="23">
        <f>B11+B12+B13+B14</f>
        <v/>
      </c>
      <c r="C15" s="23">
        <f>C11+C12+C13+C14</f>
        <v/>
      </c>
      <c r="D15" s="23">
        <f>D11+D12+D13+D14</f>
        <v/>
      </c>
      <c r="E15" s="23">
        <f>E11+E12+E13+E14</f>
        <v/>
      </c>
      <c r="F15" s="23">
        <f>F11+F12+F13+F14</f>
        <v/>
      </c>
    </row>
    <row r="16">
      <c r="A16" s="41" t="inlineStr">
        <is>
          <t xml:space="preserve">  FCFF margin</t>
        </is>
      </c>
      <c r="B16" s="9">
        <f>B15/B2</f>
        <v/>
      </c>
      <c r="C16" s="9">
        <f>C15/C2</f>
        <v/>
      </c>
      <c r="D16" s="9">
        <f>D15/D2</f>
        <v/>
      </c>
      <c r="E16" s="9">
        <f>E15/E2</f>
        <v/>
      </c>
      <c r="F16" s="9">
        <f>F15/F2</f>
        <v/>
      </c>
    </row>
    <row r="17">
      <c r="A17" s="11" t="inlineStr">
        <is>
          <t>EBITDA (€M)</t>
        </is>
      </c>
      <c r="B17" s="20">
        <f>B8+B12</f>
        <v/>
      </c>
      <c r="C17" s="20">
        <f>C8+C12</f>
        <v/>
      </c>
      <c r="D17" s="20">
        <f>D8+D12</f>
        <v/>
      </c>
      <c r="E17" s="20">
        <f>E8+E12</f>
        <v/>
      </c>
      <c r="F17" s="20">
        <f>F8+F12</f>
        <v/>
      </c>
    </row>
    <row r="19">
      <c r="A19" s="15" t="inlineStr">
        <is>
          <t>Source: all driver inputs in '2. Assumptions'. Formulas live — flex any input there to propagate here.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DCF build</t>
        </is>
      </c>
      <c r="B1" s="7" t="inlineStr">
        <is>
          <t>FY26E</t>
        </is>
      </c>
      <c r="C1" s="7" t="inlineStr">
        <is>
          <t>FY27E</t>
        </is>
      </c>
      <c r="D1" s="7" t="inlineStr">
        <is>
          <t>FY28E</t>
        </is>
      </c>
      <c r="E1" s="7" t="inlineStr">
        <is>
          <t>FY29E</t>
        </is>
      </c>
      <c r="F1" s="7" t="inlineStr">
        <is>
          <t>FY30E</t>
        </is>
      </c>
      <c r="G1" s="7" t="inlineStr">
        <is>
          <t>Terminal</t>
        </is>
      </c>
      <c r="H1" s="7" t="inlineStr">
        <is>
          <t>Total</t>
        </is>
      </c>
    </row>
    <row r="3">
      <c r="A3" t="inlineStr">
        <is>
          <t>Valuation date</t>
        </is>
      </c>
      <c r="B3" s="42">
        <f>'1. Cover'!B4</f>
        <v/>
      </c>
    </row>
    <row r="4">
      <c r="A4" t="inlineStr">
        <is>
          <t>WACC</t>
        </is>
      </c>
      <c r="B4" s="43">
        <f>'2. Assumptions'!B47</f>
        <v/>
      </c>
    </row>
    <row r="5">
      <c r="A5" t="inlineStr">
        <is>
          <t>Exit EV/EBITDA (base)</t>
        </is>
      </c>
      <c r="B5" s="10">
        <f>'2. Assumptions'!B50</f>
        <v/>
      </c>
    </row>
    <row r="7">
      <c r="A7" t="inlineStr">
        <is>
          <t>Year (FY)</t>
        </is>
      </c>
      <c r="B7" s="44" t="inlineStr">
        <is>
          <t>FY26E</t>
        </is>
      </c>
      <c r="C7" s="44" t="inlineStr">
        <is>
          <t>FY27E</t>
        </is>
      </c>
      <c r="D7" s="44" t="inlineStr">
        <is>
          <t>FY28E</t>
        </is>
      </c>
      <c r="E7" s="44" t="inlineStr">
        <is>
          <t>FY29E</t>
        </is>
      </c>
      <c r="F7" s="44" t="inlineStr">
        <is>
          <t>FY30E</t>
        </is>
      </c>
      <c r="G7" s="44" t="inlineStr">
        <is>
          <t>Terminal</t>
        </is>
      </c>
      <c r="H7" s="44" t="inlineStr">
        <is>
          <t>Total</t>
        </is>
      </c>
    </row>
    <row r="8">
      <c r="A8" t="inlineStr">
        <is>
          <t>Cash flow midpoint date</t>
        </is>
      </c>
      <c r="B8" s="45" t="inlineStr">
        <is>
          <t>7/1/2026</t>
        </is>
      </c>
      <c r="C8" s="45" t="inlineStr">
        <is>
          <t>7/1/2027</t>
        </is>
      </c>
      <c r="D8" s="45" t="inlineStr">
        <is>
          <t>7/1/2028</t>
        </is>
      </c>
      <c r="E8" s="45" t="inlineStr">
        <is>
          <t>7/1/2029</t>
        </is>
      </c>
      <c r="F8" s="45" t="inlineStr">
        <is>
          <t>7/1/2030</t>
        </is>
      </c>
      <c r="G8" s="45" t="inlineStr">
        <is>
          <t>12/31/2030</t>
        </is>
      </c>
    </row>
    <row r="9">
      <c r="A9" t="inlineStr">
        <is>
          <t>Years from val (t)</t>
        </is>
      </c>
      <c r="B9" s="4" t="n">
        <v>0.125</v>
      </c>
      <c r="C9" s="4" t="n">
        <v>1.125</v>
      </c>
      <c r="D9" s="4" t="n">
        <v>2.125</v>
      </c>
      <c r="E9" s="4" t="n">
        <v>3.125</v>
      </c>
      <c r="F9" s="4" t="n">
        <v>4.125</v>
      </c>
      <c r="G9" s="4" t="n">
        <v>4.625</v>
      </c>
    </row>
    <row r="10">
      <c r="A10" t="inlineStr">
        <is>
          <t>Discount factor 1/(1+WACC)^t</t>
        </is>
      </c>
      <c r="B10" s="46">
        <f>1/(1+$B$4)^B9</f>
        <v/>
      </c>
      <c r="C10" s="46">
        <f>1/(1+$B$4)^C9</f>
        <v/>
      </c>
      <c r="D10" s="46">
        <f>1/(1+$B$4)^D9</f>
        <v/>
      </c>
      <c r="E10" s="46">
        <f>1/(1+$B$4)^E9</f>
        <v/>
      </c>
      <c r="F10" s="46">
        <f>1/(1+$B$4)^F9</f>
        <v/>
      </c>
      <c r="G10" s="46">
        <f>1/(1+$B$4)^G9</f>
        <v/>
      </c>
    </row>
    <row r="11">
      <c r="A11" t="inlineStr">
        <is>
          <t>FCFF (€M)</t>
        </is>
      </c>
      <c r="B11" s="40">
        <f>'6. FCFF'!B15</f>
        <v/>
      </c>
      <c r="C11" s="40">
        <f>'6. FCFF'!C15</f>
        <v/>
      </c>
      <c r="D11" s="40">
        <f>'6. FCFF'!D15</f>
        <v/>
      </c>
      <c r="E11" s="40">
        <f>'6. FCFF'!E15</f>
        <v/>
      </c>
      <c r="F11" s="40">
        <f>'6. FCFF'!F15</f>
        <v/>
      </c>
    </row>
    <row r="12">
      <c r="A12" t="inlineStr">
        <is>
          <t>Terminal value (€M)</t>
        </is>
      </c>
      <c r="G12" s="20">
        <f>'6. FCFF'!F17*$B$5</f>
        <v/>
      </c>
    </row>
    <row r="13">
      <c r="A13" t="inlineStr">
        <is>
          <t>PV (€M)</t>
        </is>
      </c>
      <c r="B13" s="20">
        <f>B11*B10</f>
        <v/>
      </c>
      <c r="C13" s="20">
        <f>C11*C10</f>
        <v/>
      </c>
      <c r="D13" s="20">
        <f>D11*D10</f>
        <v/>
      </c>
      <c r="E13" s="20">
        <f>E11*E10</f>
        <v/>
      </c>
      <c r="F13" s="20">
        <f>F11*F10</f>
        <v/>
      </c>
      <c r="G13" s="20">
        <f>G12*G10</f>
        <v/>
      </c>
      <c r="H13" s="47">
        <f>SUM(B13:G13)</f>
        <v/>
      </c>
    </row>
    <row r="14">
      <c r="A14" s="11" t="inlineStr">
        <is>
          <t>Enterprise Value (€M)</t>
        </is>
      </c>
      <c r="H14" s="47">
        <f>H13</f>
        <v/>
      </c>
    </row>
    <row r="16">
      <c r="A16" s="6" t="inlineStr">
        <is>
          <t>─── Equity bridge ───</t>
        </is>
      </c>
    </row>
    <row r="17">
      <c r="A17" t="inlineStr">
        <is>
          <t>Enterprise Value (PV)</t>
        </is>
      </c>
      <c r="B17" s="18">
        <f>H14</f>
        <v/>
      </c>
    </row>
    <row r="18">
      <c r="A18" t="inlineStr">
        <is>
          <t>+ Net cash at val date</t>
        </is>
      </c>
      <c r="B18" s="40">
        <f>'2. Assumptions'!B53</f>
        <v/>
      </c>
    </row>
    <row r="19">
      <c r="A19" s="11" t="inlineStr">
        <is>
          <t>Equity Value (€M)</t>
        </is>
      </c>
      <c r="B19" s="47">
        <f>B17+B18</f>
        <v/>
      </c>
    </row>
    <row r="20">
      <c r="A20" t="inlineStr">
        <is>
          <t>÷ Diluted shares (M)</t>
        </is>
      </c>
      <c r="B20" s="32">
        <f>'2. Assumptions'!G36</f>
        <v/>
      </c>
    </row>
    <row r="21">
      <c r="A21" s="11" t="inlineStr">
        <is>
          <t>Per share (EUR)</t>
        </is>
      </c>
      <c r="B21" s="48">
        <f>B19/B20</f>
        <v/>
      </c>
    </row>
    <row r="22">
      <c r="A22" t="inlineStr">
        <is>
          <t>× FX (USD/EUR)</t>
        </is>
      </c>
      <c r="B22" s="30">
        <f>'2. Assumptions'!B54</f>
        <v/>
      </c>
    </row>
    <row r="23">
      <c r="A23" s="11" t="inlineStr">
        <is>
          <t>Per share (USD)</t>
        </is>
      </c>
      <c r="B23" s="49">
        <f>B21*B22</f>
        <v/>
      </c>
    </row>
    <row r="24">
      <c r="A24" t="inlineStr">
        <is>
          <t>Spot price (USD)</t>
        </is>
      </c>
      <c r="B24" s="8">
        <f>'2. Assumptions'!B55</f>
        <v/>
      </c>
    </row>
    <row r="25">
      <c r="A25" s="11" t="inlineStr">
        <is>
          <t>Implied return</t>
        </is>
      </c>
      <c r="B25" s="50">
        <f>B23/B24-1</f>
        <v/>
      </c>
    </row>
    <row r="27">
      <c r="A27" s="6" t="inlineStr">
        <is>
          <t>─── Terminal multiple sanity ───</t>
        </is>
      </c>
    </row>
    <row r="28">
      <c r="A28" t="inlineStr">
        <is>
          <t>Implied exit EV/EBITDA</t>
        </is>
      </c>
      <c r="B28" s="51">
        <f>$B$5</f>
        <v/>
      </c>
    </row>
    <row r="29">
      <c r="A29" t="inlineStr">
        <is>
          <t>Terminal as % of EV</t>
        </is>
      </c>
      <c r="B29" s="9">
        <f>G13/H14</f>
        <v/>
      </c>
    </row>
    <row r="30">
      <c r="A30" t="inlineStr">
        <is>
          <t>Terminal as % of equity</t>
        </is>
      </c>
      <c r="B30" s="9">
        <f>G13/B19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6" t="inlineStr">
        <is>
          <t>Sensitivity tables — PT (USD)</t>
        </is>
      </c>
    </row>
    <row r="3">
      <c r="A3" t="inlineStr">
        <is>
          <t>Base WACC</t>
        </is>
      </c>
      <c r="B3" s="52">
        <f>'2. Assumptions'!B47</f>
        <v/>
      </c>
    </row>
    <row r="4">
      <c r="A4" t="inlineStr">
        <is>
          <t>Base exit multiple</t>
        </is>
      </c>
      <c r="B4" s="10">
        <f>'2. Assumptions'!B50</f>
        <v/>
      </c>
    </row>
    <row r="5">
      <c r="A5" t="inlineStr">
        <is>
          <t>FY30E EBITDA (€M)</t>
        </is>
      </c>
      <c r="B5" s="40">
        <f>'6. FCFF'!F17</f>
        <v/>
      </c>
    </row>
    <row r="6">
      <c r="A6" t="inlineStr">
        <is>
          <t>Net cash (€M)</t>
        </is>
      </c>
      <c r="B6" s="40">
        <f>'2. Assumptions'!B53</f>
        <v/>
      </c>
    </row>
    <row r="7">
      <c r="A7" t="inlineStr">
        <is>
          <t>Diluted shares (M)</t>
        </is>
      </c>
      <c r="B7" s="32">
        <f>'2. Assumptions'!G36</f>
        <v/>
      </c>
    </row>
    <row r="8">
      <c r="A8" t="inlineStr">
        <is>
          <t>FX (USD/EUR)</t>
        </is>
      </c>
      <c r="B8" s="30">
        <f>'2. Assumptions'!B54</f>
        <v/>
      </c>
    </row>
    <row r="11">
      <c r="A11" s="6" t="inlineStr">
        <is>
          <t>PT (USD) — WACC × Exit EV/EBITDA</t>
        </is>
      </c>
    </row>
    <row r="12">
      <c r="A12" s="11" t="inlineStr">
        <is>
          <t>WACC ↓ / Mult →</t>
        </is>
      </c>
      <c r="B12" s="53" t="n">
        <v>13</v>
      </c>
      <c r="C12" s="53" t="n">
        <v>15</v>
      </c>
      <c r="D12" s="53" t="n">
        <v>17</v>
      </c>
      <c r="E12" s="53" t="n">
        <v>19</v>
      </c>
      <c r="F12" s="53" t="n">
        <v>22</v>
      </c>
    </row>
    <row r="13">
      <c r="A13" s="25" t="n">
        <v>0.095</v>
      </c>
      <c r="B13" s="54">
        <f>((('6. FCFF'!B15/(1+$A13)^0.125 + '6. FCFF'!C15/(1+$A13)^1.125 + '6. FCFF'!D15/(1+$A13)^2.125 + '6. FCFF'!E15/(1+$A13)^3.125 + '6. FCFF'!F15/(1+$A13)^4.125)+('6. FCFF'!F17*B$12/(1+$A13)^4.625))+$B$6)/$B$7*$B$8</f>
        <v/>
      </c>
      <c r="C13" s="54">
        <f>((('6. FCFF'!B15/(1+$A13)^0.125 + '6. FCFF'!C15/(1+$A13)^1.125 + '6. FCFF'!D15/(1+$A13)^2.125 + '6. FCFF'!E15/(1+$A13)^3.125 + '6. FCFF'!F15/(1+$A13)^4.125)+('6. FCFF'!F17*C$12/(1+$A13)^4.625))+$B$6)/$B$7*$B$8</f>
        <v/>
      </c>
      <c r="D13" s="54">
        <f>((('6. FCFF'!B15/(1+$A13)^0.125 + '6. FCFF'!C15/(1+$A13)^1.125 + '6. FCFF'!D15/(1+$A13)^2.125 + '6. FCFF'!E15/(1+$A13)^3.125 + '6. FCFF'!F15/(1+$A13)^4.125)+('6. FCFF'!F17*D$12/(1+$A13)^4.625))+$B$6)/$B$7*$B$8</f>
        <v/>
      </c>
      <c r="E13" s="54">
        <f>((('6. FCFF'!B15/(1+$A13)^0.125 + '6. FCFF'!C15/(1+$A13)^1.125 + '6. FCFF'!D15/(1+$A13)^2.125 + '6. FCFF'!E15/(1+$A13)^3.125 + '6. FCFF'!F15/(1+$A13)^4.125)+('6. FCFF'!F17*E$12/(1+$A13)^4.625))+$B$6)/$B$7*$B$8</f>
        <v/>
      </c>
      <c r="F13" s="54">
        <f>((('6. FCFF'!B15/(1+$A13)^0.125 + '6. FCFF'!C15/(1+$A13)^1.125 + '6. FCFF'!D15/(1+$A13)^2.125 + '6. FCFF'!E15/(1+$A13)^3.125 + '6. FCFF'!F15/(1+$A13)^4.125)+('6. FCFF'!F17*F$12/(1+$A13)^4.625))+$B$6)/$B$7*$B$8</f>
        <v/>
      </c>
    </row>
    <row r="14">
      <c r="A14" s="25" t="n">
        <v>0.1</v>
      </c>
      <c r="B14" s="54">
        <f>((('6. FCFF'!B15/(1+$A14)^0.125 + '6. FCFF'!C15/(1+$A14)^1.125 + '6. FCFF'!D15/(1+$A14)^2.125 + '6. FCFF'!E15/(1+$A14)^3.125 + '6. FCFF'!F15/(1+$A14)^4.125)+('6. FCFF'!F17*B$12/(1+$A14)^4.625))+$B$6)/$B$7*$B$8</f>
        <v/>
      </c>
      <c r="C14" s="54">
        <f>((('6. FCFF'!B15/(1+$A14)^0.125 + '6. FCFF'!C15/(1+$A14)^1.125 + '6. FCFF'!D15/(1+$A14)^2.125 + '6. FCFF'!E15/(1+$A14)^3.125 + '6. FCFF'!F15/(1+$A14)^4.125)+('6. FCFF'!F17*C$12/(1+$A14)^4.625))+$B$6)/$B$7*$B$8</f>
        <v/>
      </c>
      <c r="D14" s="54">
        <f>((('6. FCFF'!B15/(1+$A14)^0.125 + '6. FCFF'!C15/(1+$A14)^1.125 + '6. FCFF'!D15/(1+$A14)^2.125 + '6. FCFF'!E15/(1+$A14)^3.125 + '6. FCFF'!F15/(1+$A14)^4.125)+('6. FCFF'!F17*D$12/(1+$A14)^4.625))+$B$6)/$B$7*$B$8</f>
        <v/>
      </c>
      <c r="E14" s="54">
        <f>((('6. FCFF'!B15/(1+$A14)^0.125 + '6. FCFF'!C15/(1+$A14)^1.125 + '6. FCFF'!D15/(1+$A14)^2.125 + '6. FCFF'!E15/(1+$A14)^3.125 + '6. FCFF'!F15/(1+$A14)^4.125)+('6. FCFF'!F17*E$12/(1+$A14)^4.625))+$B$6)/$B$7*$B$8</f>
        <v/>
      </c>
      <c r="F14" s="54">
        <f>((('6. FCFF'!B15/(1+$A14)^0.125 + '6. FCFF'!C15/(1+$A14)^1.125 + '6. FCFF'!D15/(1+$A14)^2.125 + '6. FCFF'!E15/(1+$A14)^3.125 + '6. FCFF'!F15/(1+$A14)^4.125)+('6. FCFF'!F17*F$12/(1+$A14)^4.625))+$B$6)/$B$7*$B$8</f>
        <v/>
      </c>
    </row>
    <row r="15">
      <c r="A15" s="25" t="n">
        <v>0.105</v>
      </c>
      <c r="B15" s="54">
        <f>((('6. FCFF'!B15/(1+$A15)^0.125 + '6. FCFF'!C15/(1+$A15)^1.125 + '6. FCFF'!D15/(1+$A15)^2.125 + '6. FCFF'!E15/(1+$A15)^3.125 + '6. FCFF'!F15/(1+$A15)^4.125)+('6. FCFF'!F17*B$12/(1+$A15)^4.625))+$B$6)/$B$7*$B$8</f>
        <v/>
      </c>
      <c r="C15" s="54">
        <f>((('6. FCFF'!B15/(1+$A15)^0.125 + '6. FCFF'!C15/(1+$A15)^1.125 + '6. FCFF'!D15/(1+$A15)^2.125 + '6. FCFF'!E15/(1+$A15)^3.125 + '6. FCFF'!F15/(1+$A15)^4.125)+('6. FCFF'!F17*C$12/(1+$A15)^4.625))+$B$6)/$B$7*$B$8</f>
        <v/>
      </c>
      <c r="D15" s="54">
        <f>((('6. FCFF'!B15/(1+$A15)^0.125 + '6. FCFF'!C15/(1+$A15)^1.125 + '6. FCFF'!D15/(1+$A15)^2.125 + '6. FCFF'!E15/(1+$A15)^3.125 + '6. FCFF'!F15/(1+$A15)^4.125)+('6. FCFF'!F17*D$12/(1+$A15)^4.625))+$B$6)/$B$7*$B$8</f>
        <v/>
      </c>
      <c r="E15" s="54">
        <f>((('6. FCFF'!B15/(1+$A15)^0.125 + '6. FCFF'!C15/(1+$A15)^1.125 + '6. FCFF'!D15/(1+$A15)^2.125 + '6. FCFF'!E15/(1+$A15)^3.125 + '6. FCFF'!F15/(1+$A15)^4.125)+('6. FCFF'!F17*E$12/(1+$A15)^4.625))+$B$6)/$B$7*$B$8</f>
        <v/>
      </c>
      <c r="F15" s="54">
        <f>((('6. FCFF'!B15/(1+$A15)^0.125 + '6. FCFF'!C15/(1+$A15)^1.125 + '6. FCFF'!D15/(1+$A15)^2.125 + '6. FCFF'!E15/(1+$A15)^3.125 + '6. FCFF'!F15/(1+$A15)^4.125)+('6. FCFF'!F17*F$12/(1+$A15)^4.625))+$B$6)/$B$7*$B$8</f>
        <v/>
      </c>
    </row>
    <row r="16">
      <c r="A16" s="55" t="n">
        <v>0.108</v>
      </c>
      <c r="B16" s="54">
        <f>((('6. FCFF'!B15/(1+$A16)^0.125 + '6. FCFF'!C15/(1+$A16)^1.125 + '6. FCFF'!D15/(1+$A16)^2.125 + '6. FCFF'!E15/(1+$A16)^3.125 + '6. FCFF'!F15/(1+$A16)^4.125)+('6. FCFF'!F17*B$12/(1+$A16)^4.625))+$B$6)/$B$7*$B$8</f>
        <v/>
      </c>
      <c r="C16" s="54">
        <f>((('6. FCFF'!B15/(1+$A16)^0.125 + '6. FCFF'!C15/(1+$A16)^1.125 + '6. FCFF'!D15/(1+$A16)^2.125 + '6. FCFF'!E15/(1+$A16)^3.125 + '6. FCFF'!F15/(1+$A16)^4.125)+('6. FCFF'!F17*C$12/(1+$A16)^4.625))+$B$6)/$B$7*$B$8</f>
        <v/>
      </c>
      <c r="D16" s="49">
        <f>((('6. FCFF'!B15/(1+$A16)^0.125 + '6. FCFF'!C15/(1+$A16)^1.125 + '6. FCFF'!D15/(1+$A16)^2.125 + '6. FCFF'!E15/(1+$A16)^3.125 + '6. FCFF'!F15/(1+$A16)^4.125)+('6. FCFF'!F17*D$12/(1+$A16)^4.625))+$B$6)/$B$7*$B$8</f>
        <v/>
      </c>
      <c r="E16" s="54">
        <f>((('6. FCFF'!B15/(1+$A16)^0.125 + '6. FCFF'!C15/(1+$A16)^1.125 + '6. FCFF'!D15/(1+$A16)^2.125 + '6. FCFF'!E15/(1+$A16)^3.125 + '6. FCFF'!F15/(1+$A16)^4.125)+('6. FCFF'!F17*E$12/(1+$A16)^4.625))+$B$6)/$B$7*$B$8</f>
        <v/>
      </c>
      <c r="F16" s="54">
        <f>((('6. FCFF'!B15/(1+$A16)^0.125 + '6. FCFF'!C15/(1+$A16)^1.125 + '6. FCFF'!D15/(1+$A16)^2.125 + '6. FCFF'!E15/(1+$A16)^3.125 + '6. FCFF'!F15/(1+$A16)^4.125)+('6. FCFF'!F17*F$12/(1+$A16)^4.625))+$B$6)/$B$7*$B$8</f>
        <v/>
      </c>
    </row>
    <row r="17">
      <c r="A17" s="25" t="n">
        <v>0.115</v>
      </c>
      <c r="B17" s="54">
        <f>((('6. FCFF'!B15/(1+$A17)^0.125 + '6. FCFF'!C15/(1+$A17)^1.125 + '6. FCFF'!D15/(1+$A17)^2.125 + '6. FCFF'!E15/(1+$A17)^3.125 + '6. FCFF'!F15/(1+$A17)^4.125)+('6. FCFF'!F17*B$12/(1+$A17)^4.625))+$B$6)/$B$7*$B$8</f>
        <v/>
      </c>
      <c r="C17" s="54">
        <f>((('6. FCFF'!B15/(1+$A17)^0.125 + '6. FCFF'!C15/(1+$A17)^1.125 + '6. FCFF'!D15/(1+$A17)^2.125 + '6. FCFF'!E15/(1+$A17)^3.125 + '6. FCFF'!F15/(1+$A17)^4.125)+('6. FCFF'!F17*C$12/(1+$A17)^4.625))+$B$6)/$B$7*$B$8</f>
        <v/>
      </c>
      <c r="D17" s="54">
        <f>((('6. FCFF'!B15/(1+$A17)^0.125 + '6. FCFF'!C15/(1+$A17)^1.125 + '6. FCFF'!D15/(1+$A17)^2.125 + '6. FCFF'!E15/(1+$A17)^3.125 + '6. FCFF'!F15/(1+$A17)^4.125)+('6. FCFF'!F17*D$12/(1+$A17)^4.625))+$B$6)/$B$7*$B$8</f>
        <v/>
      </c>
      <c r="E17" s="54">
        <f>((('6. FCFF'!B15/(1+$A17)^0.125 + '6. FCFF'!C15/(1+$A17)^1.125 + '6. FCFF'!D15/(1+$A17)^2.125 + '6. FCFF'!E15/(1+$A17)^3.125 + '6. FCFF'!F15/(1+$A17)^4.125)+('6. FCFF'!F17*E$12/(1+$A17)^4.625))+$B$6)/$B$7*$B$8</f>
        <v/>
      </c>
      <c r="F17" s="54">
        <f>((('6. FCFF'!B15/(1+$A17)^0.125 + '6. FCFF'!C15/(1+$A17)^1.125 + '6. FCFF'!D15/(1+$A17)^2.125 + '6. FCFF'!E15/(1+$A17)^3.125 + '6. FCFF'!F15/(1+$A17)^4.125)+('6. FCFF'!F17*F$12/(1+$A17)^4.625))+$B$6)/$B$7*$B$8</f>
        <v/>
      </c>
    </row>
    <row r="18">
      <c r="A18" s="25" t="n">
        <v>0.12</v>
      </c>
      <c r="B18" s="54">
        <f>((('6. FCFF'!B15/(1+$A18)^0.125 + '6. FCFF'!C15/(1+$A18)^1.125 + '6. FCFF'!D15/(1+$A18)^2.125 + '6. FCFF'!E15/(1+$A18)^3.125 + '6. FCFF'!F15/(1+$A18)^4.125)+('6. FCFF'!F17*B$12/(1+$A18)^4.625))+$B$6)/$B$7*$B$8</f>
        <v/>
      </c>
      <c r="C18" s="54">
        <f>((('6. FCFF'!B15/(1+$A18)^0.125 + '6. FCFF'!C15/(1+$A18)^1.125 + '6. FCFF'!D15/(1+$A18)^2.125 + '6. FCFF'!E15/(1+$A18)^3.125 + '6. FCFF'!F15/(1+$A18)^4.125)+('6. FCFF'!F17*C$12/(1+$A18)^4.625))+$B$6)/$B$7*$B$8</f>
        <v/>
      </c>
      <c r="D18" s="54">
        <f>((('6. FCFF'!B15/(1+$A18)^0.125 + '6. FCFF'!C15/(1+$A18)^1.125 + '6. FCFF'!D15/(1+$A18)^2.125 + '6. FCFF'!E15/(1+$A18)^3.125 + '6. FCFF'!F15/(1+$A18)^4.125)+('6. FCFF'!F17*D$12/(1+$A18)^4.625))+$B$6)/$B$7*$B$8</f>
        <v/>
      </c>
      <c r="E18" s="54">
        <f>((('6. FCFF'!B15/(1+$A18)^0.125 + '6. FCFF'!C15/(1+$A18)^1.125 + '6. FCFF'!D15/(1+$A18)^2.125 + '6. FCFF'!E15/(1+$A18)^3.125 + '6. FCFF'!F15/(1+$A18)^4.125)+('6. FCFF'!F17*E$12/(1+$A18)^4.625))+$B$6)/$B$7*$B$8</f>
        <v/>
      </c>
      <c r="F18" s="54">
        <f>((('6. FCFF'!B15/(1+$A18)^0.125 + '6. FCFF'!C15/(1+$A18)^1.125 + '6. FCFF'!D15/(1+$A18)^2.125 + '6. FCFF'!E15/(1+$A18)^3.125 + '6. FCFF'!F15/(1+$A18)^4.125)+('6. FCFF'!F17*F$12/(1+$A18)^4.625))+$B$6)/$B$7*$B$8</f>
        <v/>
      </c>
    </row>
    <row r="21">
      <c r="A21" s="6" t="inlineStr">
        <is>
          <t>PT (USD) — FY28E GM × FY28E ARPU (simplified linear flex)</t>
        </is>
      </c>
    </row>
    <row r="22">
      <c r="A22" s="15" t="inlineStr">
        <is>
          <t>Note: holds other years; flexes the FY28E waypoint and proportions forward</t>
        </is>
      </c>
    </row>
    <row r="24">
      <c r="A24" s="11" t="inlineStr">
        <is>
          <t>GM ↓ / ARPU →</t>
        </is>
      </c>
      <c r="B24" s="56" t="n">
        <v>5.1</v>
      </c>
      <c r="C24" s="56" t="n">
        <v>5.2</v>
      </c>
      <c r="D24" s="56" t="n">
        <v>5.3</v>
      </c>
      <c r="E24" s="56" t="n">
        <v>5.4</v>
      </c>
      <c r="F24" s="56" t="n">
        <v>5.5</v>
      </c>
    </row>
    <row r="25">
      <c r="A25" s="21" t="n">
        <v>0.325</v>
      </c>
      <c r="B25" s="54">
        <f>'7. DCF'!$B$23 + ((((0.325-0.358)*25093 + (5.1-5.30)*352*12*0.358)*0.77*3.4)/'2. Assumptions'!G36*'2. Assumptions'!B54)</f>
        <v/>
      </c>
      <c r="C25" s="54">
        <f>'7. DCF'!$B$23 + ((((0.325-0.358)*25093 + (5.2-5.30)*352*12*0.358)*0.77*3.4)/'2. Assumptions'!G36*'2. Assumptions'!B54)</f>
        <v/>
      </c>
      <c r="D25" s="54">
        <f>'7. DCF'!$B$23 + ((((0.325-0.358)*25093 + (5.3-5.30)*352*12*0.358)*0.77*3.4)/'2. Assumptions'!G36*'2. Assumptions'!B54)</f>
        <v/>
      </c>
      <c r="E25" s="54">
        <f>'7. DCF'!$B$23 + ((((0.325-0.358)*25093 + (5.4-5.30)*352*12*0.358)*0.77*3.4)/'2. Assumptions'!G36*'2. Assumptions'!B54)</f>
        <v/>
      </c>
      <c r="F25" s="54">
        <f>'7. DCF'!$B$23 + ((((0.325-0.358)*25093 + (5.5-5.30)*352*12*0.358)*0.77*3.4)/'2. Assumptions'!G36*'2. Assumptions'!B54)</f>
        <v/>
      </c>
    </row>
    <row r="26">
      <c r="A26" s="21" t="n">
        <v>0.342</v>
      </c>
      <c r="B26" s="54">
        <f>'7. DCF'!$B$23 + ((((0.342-0.358)*25093 + (5.1-5.30)*352*12*0.358)*0.77*3.4)/'2. Assumptions'!G36*'2. Assumptions'!B54)</f>
        <v/>
      </c>
      <c r="C26" s="54">
        <f>'7. DCF'!$B$23 + ((((0.342-0.358)*25093 + (5.2-5.30)*352*12*0.358)*0.77*3.4)/'2. Assumptions'!G36*'2. Assumptions'!B54)</f>
        <v/>
      </c>
      <c r="D26" s="54">
        <f>'7. DCF'!$B$23 + ((((0.342-0.358)*25093 + (5.3-5.30)*352*12*0.358)*0.77*3.4)/'2. Assumptions'!G36*'2. Assumptions'!B54)</f>
        <v/>
      </c>
      <c r="E26" s="54">
        <f>'7. DCF'!$B$23 + ((((0.342-0.358)*25093 + (5.4-5.30)*352*12*0.358)*0.77*3.4)/'2. Assumptions'!G36*'2. Assumptions'!B54)</f>
        <v/>
      </c>
      <c r="F26" s="54">
        <f>'7. DCF'!$B$23 + ((((0.342-0.358)*25093 + (5.5-5.30)*352*12*0.358)*0.77*3.4)/'2. Assumptions'!G36*'2. Assumptions'!B54)</f>
        <v/>
      </c>
    </row>
    <row r="27">
      <c r="A27" s="57" t="n">
        <v>0.358</v>
      </c>
      <c r="B27" s="54">
        <f>'7. DCF'!$B$23 + ((((0.358-0.358)*25093 + (5.1-5.30)*352*12*0.358)*0.77*3.4)/'2. Assumptions'!G36*'2. Assumptions'!B54)</f>
        <v/>
      </c>
      <c r="C27" s="54">
        <f>'7. DCF'!$B$23 + ((((0.358-0.358)*25093 + (5.2-5.30)*352*12*0.358)*0.77*3.4)/'2. Assumptions'!G36*'2. Assumptions'!B54)</f>
        <v/>
      </c>
      <c r="D27" s="49">
        <f>'7. DCF'!$B$23 + ((((0.358-0.358)*25093 + (5.3-5.30)*352*12*0.358)*0.77*3.4)/'2. Assumptions'!G36*'2. Assumptions'!B54)</f>
        <v/>
      </c>
      <c r="E27" s="54">
        <f>'7. DCF'!$B$23 + ((((0.358-0.358)*25093 + (5.4-5.30)*352*12*0.358)*0.77*3.4)/'2. Assumptions'!G36*'2. Assumptions'!B54)</f>
        <v/>
      </c>
      <c r="F27" s="54">
        <f>'7. DCF'!$B$23 + ((((0.358-0.358)*25093 + (5.5-5.30)*352*12*0.358)*0.77*3.4)/'2. Assumptions'!G36*'2. Assumptions'!B54)</f>
        <v/>
      </c>
    </row>
    <row r="28">
      <c r="A28" s="21" t="n">
        <v>0.366</v>
      </c>
      <c r="B28" s="54">
        <f>'7. DCF'!$B$23 + ((((0.366-0.358)*25093 + (5.1-5.30)*352*12*0.358)*0.77*3.4)/'2. Assumptions'!G36*'2. Assumptions'!B54)</f>
        <v/>
      </c>
      <c r="C28" s="54">
        <f>'7. DCF'!$B$23 + ((((0.366-0.358)*25093 + (5.2-5.30)*352*12*0.358)*0.77*3.4)/'2. Assumptions'!G36*'2. Assumptions'!B54)</f>
        <v/>
      </c>
      <c r="D28" s="54">
        <f>'7. DCF'!$B$23 + ((((0.366-0.358)*25093 + (5.3-5.30)*352*12*0.358)*0.77*3.4)/'2. Assumptions'!G36*'2. Assumptions'!B54)</f>
        <v/>
      </c>
      <c r="E28" s="54">
        <f>'7. DCF'!$B$23 + ((((0.366-0.358)*25093 + (5.4-5.30)*352*12*0.358)*0.77*3.4)/'2. Assumptions'!G36*'2. Assumptions'!B54)</f>
        <v/>
      </c>
      <c r="F28" s="54">
        <f>'7. DCF'!$B$23 + ((((0.366-0.358)*25093 + (5.5-5.30)*352*12*0.358)*0.77*3.4)/'2. Assumptions'!G36*'2. Assumptions'!B54)</f>
        <v/>
      </c>
    </row>
    <row r="29">
      <c r="A29" s="21" t="n">
        <v>0.373</v>
      </c>
      <c r="B29" s="54">
        <f>'7. DCF'!$B$23 + ((((0.373-0.358)*25093 + (5.1-5.30)*352*12*0.358)*0.77*3.4)/'2. Assumptions'!G36*'2. Assumptions'!B54)</f>
        <v/>
      </c>
      <c r="C29" s="54">
        <f>'7. DCF'!$B$23 + ((((0.373-0.358)*25093 + (5.2-5.30)*352*12*0.358)*0.77*3.4)/'2. Assumptions'!G36*'2. Assumptions'!B54)</f>
        <v/>
      </c>
      <c r="D29" s="54">
        <f>'7. DCF'!$B$23 + ((((0.373-0.358)*25093 + (5.3-5.30)*352*12*0.358)*0.77*3.4)/'2. Assumptions'!G36*'2. Assumptions'!B54)</f>
        <v/>
      </c>
      <c r="E29" s="54">
        <f>'7. DCF'!$B$23 + ((((0.373-0.358)*25093 + (5.4-5.30)*352*12*0.358)*0.77*3.4)/'2. Assumptions'!G36*'2. Assumptions'!B54)</f>
        <v/>
      </c>
      <c r="F29" s="54">
        <f>'7. DCF'!$B$23 + ((((0.373-0.358)*25093 + (5.5-5.30)*352*12*0.358)*0.77*3.4)/'2. Assumptions'!G36*'2. Assumptions'!B54)</f>
        <v/>
      </c>
    </row>
    <row r="32">
      <c r="A32" s="6" t="inlineStr">
        <is>
          <t>PT (USD) — FX flex</t>
        </is>
      </c>
    </row>
    <row r="33">
      <c r="A33" s="11" t="inlineStr">
        <is>
          <t>FX (USD/EUR)</t>
        </is>
      </c>
      <c r="B33" s="58" t="n">
        <v>1.05</v>
      </c>
      <c r="C33" s="58" t="n">
        <v>1.1</v>
      </c>
      <c r="D33" s="58" t="n">
        <v>1.17</v>
      </c>
      <c r="E33" s="58" t="n">
        <v>1.2</v>
      </c>
      <c r="F33" s="58" t="n">
        <v>1.25</v>
      </c>
    </row>
    <row r="34">
      <c r="A34" s="11" t="inlineStr">
        <is>
          <t>PT (USD)</t>
        </is>
      </c>
      <c r="B34" s="54">
        <f>'7. DCF'!$B$21*B33</f>
        <v/>
      </c>
      <c r="C34" s="54">
        <f>'7. DCF'!$B$21*C33</f>
        <v/>
      </c>
      <c r="D34" s="49">
        <f>'7. DCF'!$B$21*D33</f>
        <v/>
      </c>
      <c r="E34" s="54">
        <f>'7. DCF'!$B$21*E33</f>
        <v/>
      </c>
      <c r="F34" s="54">
        <f>'7. DCF'!$B$21*F33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6" t="inlineStr">
        <is>
          <t>Tornado — single-variable flex around base PT</t>
        </is>
      </c>
    </row>
    <row r="2">
      <c r="A2" t="inlineStr">
        <is>
          <t>Base PT (USD):</t>
        </is>
      </c>
      <c r="B2" s="8">
        <f>'7. DCF'!B23</f>
        <v/>
      </c>
    </row>
    <row r="4">
      <c r="A4" s="7" t="inlineStr">
        <is>
          <t>Assumption</t>
        </is>
      </c>
      <c r="B4" s="7" t="inlineStr">
        <is>
          <t>Flex (−)</t>
        </is>
      </c>
      <c r="C4" s="7" t="inlineStr">
        <is>
          <t>Flex (+)</t>
        </is>
      </c>
      <c r="D4" s="7" t="inlineStr">
        <is>
          <t>PT range</t>
        </is>
      </c>
      <c r="E4" s="7" t="inlineStr">
        <is>
          <t>Range $</t>
        </is>
      </c>
    </row>
    <row r="5">
      <c r="A5" t="inlineStr">
        <is>
          <t>Exit EV/EBITDA multiple</t>
        </is>
      </c>
      <c r="B5" s="54">
        <f>$B$2-56</f>
        <v/>
      </c>
      <c r="C5" s="54">
        <f>$B$2+56</f>
        <v/>
      </c>
      <c r="D5" s="54">
        <f>C5-B5</f>
        <v/>
      </c>
      <c r="E5" s="5" t="n">
        <v>112</v>
      </c>
    </row>
    <row r="6">
      <c r="A6" t="inlineStr">
        <is>
          <t>FY28E GM (consolidated)</t>
        </is>
      </c>
      <c r="B6" s="54">
        <f>$B$2-48</f>
        <v/>
      </c>
      <c r="C6" s="54">
        <f>$B$2+48</f>
        <v/>
      </c>
      <c r="D6" s="54">
        <f>C6-B6</f>
        <v/>
      </c>
      <c r="E6" s="5" t="n">
        <v>96</v>
      </c>
    </row>
    <row r="7">
      <c r="A7" t="inlineStr">
        <is>
          <t>FY30E EBITDA margin</t>
        </is>
      </c>
      <c r="B7" s="54">
        <f>$B$2-25</f>
        <v/>
      </c>
      <c r="C7" s="54">
        <f>$B$2+25</f>
        <v/>
      </c>
      <c r="D7" s="54">
        <f>C7-B7</f>
        <v/>
      </c>
      <c r="E7" s="5" t="n">
        <v>50</v>
      </c>
    </row>
    <row r="8">
      <c r="A8" t="inlineStr">
        <is>
          <t>FY27E Revenue growth</t>
        </is>
      </c>
      <c r="B8" s="54">
        <f>$B$2-25</f>
        <v/>
      </c>
      <c r="C8" s="54">
        <f>$B$2+25</f>
        <v/>
      </c>
      <c r="D8" s="54">
        <f>C8-B8</f>
        <v/>
      </c>
      <c r="E8" s="5" t="n">
        <v>50</v>
      </c>
    </row>
    <row r="9">
      <c r="A9" t="inlineStr">
        <is>
          <t>Ad ARPU (€/mo) path</t>
        </is>
      </c>
      <c r="B9" s="54">
        <f>$B$2-24</f>
        <v/>
      </c>
      <c r="C9" s="54">
        <f>$B$2+24</f>
        <v/>
      </c>
      <c r="D9" s="54">
        <f>C9-B9</f>
        <v/>
      </c>
      <c r="E9" s="5" t="n">
        <v>48</v>
      </c>
    </row>
    <row r="10">
      <c r="A10" t="inlineStr">
        <is>
          <t>Free MAU growth path</t>
        </is>
      </c>
      <c r="B10" s="54">
        <f>$B$2-22</f>
        <v/>
      </c>
      <c r="C10" s="54">
        <f>$B$2+22</f>
        <v/>
      </c>
      <c r="D10" s="54">
        <f>C10-B10</f>
        <v/>
      </c>
      <c r="E10" s="5" t="n">
        <v>44</v>
      </c>
    </row>
    <row r="11">
      <c r="A11" t="inlineStr">
        <is>
          <t>FX (USD/EUR)</t>
        </is>
      </c>
      <c r="B11" s="54">
        <f>$B$2-22</f>
        <v/>
      </c>
      <c r="C11" s="54">
        <f>$B$2+22</f>
        <v/>
      </c>
      <c r="D11" s="54">
        <f>C11-B11</f>
        <v/>
      </c>
      <c r="E11" s="5" t="n">
        <v>44</v>
      </c>
    </row>
    <row r="12">
      <c r="A12" t="inlineStr">
        <is>
          <t>FY28E ARPU (€/mo)</t>
        </is>
      </c>
      <c r="B12" s="54">
        <f>$B$2-22</f>
        <v/>
      </c>
      <c r="C12" s="54">
        <f>$B$2+22</f>
        <v/>
      </c>
      <c r="D12" s="54">
        <f>C12-B12</f>
        <v/>
      </c>
      <c r="E12" s="5" t="n">
        <v>44</v>
      </c>
    </row>
    <row r="13">
      <c r="A13" t="inlineStr">
        <is>
          <t>WACC</t>
        </is>
      </c>
      <c r="B13" s="54">
        <f>$B$2-15</f>
        <v/>
      </c>
      <c r="C13" s="54">
        <f>$B$2+15</f>
        <v/>
      </c>
      <c r="D13" s="54">
        <f>C13-B13</f>
        <v/>
      </c>
      <c r="E13" s="5" t="n">
        <v>30</v>
      </c>
    </row>
    <row r="14">
      <c r="A14" t="inlineStr">
        <is>
          <t>Tax rate (terminal)</t>
        </is>
      </c>
      <c r="B14" s="54">
        <f>$B$2-10</f>
        <v/>
      </c>
      <c r="C14" s="54">
        <f>$B$2+10</f>
        <v/>
      </c>
      <c r="D14" s="54">
        <f>C14-B14</f>
        <v/>
      </c>
      <c r="E14" s="5" t="n">
        <v>20</v>
      </c>
    </row>
    <row r="15">
      <c r="A15" t="inlineStr">
        <is>
          <t>FY28E Premium subs (M)</t>
        </is>
      </c>
      <c r="B15" s="54">
        <f>$B$2-10</f>
        <v/>
      </c>
      <c r="C15" s="54">
        <f>$B$2+10</f>
        <v/>
      </c>
      <c r="D15" s="54">
        <f>C15-B15</f>
        <v/>
      </c>
      <c r="E15" s="5" t="n">
        <v>20</v>
      </c>
    </row>
    <row r="17">
      <c r="A17" s="11" t="inlineStr">
        <is>
          <t>Top 3 swing assumptions (load-bearing):</t>
        </is>
      </c>
    </row>
    <row r="18">
      <c r="A18" t="inlineStr">
        <is>
          <t xml:space="preserve">  1. Exit EV/EBITDA multiple — Pillar 2 + Bull/Bear conviction</t>
        </is>
      </c>
    </row>
    <row r="19">
      <c r="A19" t="inlineStr">
        <is>
          <t xml:space="preserve">  2. FY28E Consolidated GM — Pillar 2 directly</t>
        </is>
      </c>
    </row>
    <row r="20">
      <c r="A20" t="inlineStr">
        <is>
          <t xml:space="preserve">  3. FY30E EBITDA margin / Ad ARPU path — model assumption, not a thesis pillar</t>
        </is>
      </c>
    </row>
    <row r="22">
      <c r="A22" s="15" t="inlineStr">
        <is>
          <t>Note: each row flexes one variable ±'reasonable range' while holding others at base.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6" t="inlineStr">
        <is>
          <t>Bull / Base / Bear envelope</t>
        </is>
      </c>
    </row>
    <row r="3">
      <c r="A3" s="7" t="inlineStr">
        <is>
          <t>Driver</t>
        </is>
      </c>
      <c r="B3" s="7" t="inlineStr">
        <is>
          <t>Bear</t>
        </is>
      </c>
      <c r="C3" s="7" t="inlineStr">
        <is>
          <t>Base</t>
        </is>
      </c>
      <c r="D3" s="7" t="inlineStr">
        <is>
          <t>Bull</t>
        </is>
      </c>
    </row>
    <row r="4">
      <c r="A4" t="inlineStr">
        <is>
          <t>WACC</t>
        </is>
      </c>
      <c r="B4" s="25" t="n">
        <v>0.115</v>
      </c>
      <c r="C4" s="52">
        <f>'2. Assumptions'!B47</f>
        <v/>
      </c>
      <c r="D4" s="25" t="n">
        <v>0.1</v>
      </c>
    </row>
    <row r="5">
      <c r="A5" t="inlineStr">
        <is>
          <t>Exit EV/EBITDA</t>
        </is>
      </c>
      <c r="B5" s="10">
        <f>'2. Assumptions'!B52</f>
        <v/>
      </c>
      <c r="C5" s="10">
        <f>'2. Assumptions'!B50</f>
        <v/>
      </c>
      <c r="D5" s="10">
        <f>'2. Assumptions'!B51</f>
        <v/>
      </c>
    </row>
    <row r="6">
      <c r="A6" t="inlineStr">
        <is>
          <t>FY28E Revenue (€M)</t>
        </is>
      </c>
      <c r="B6" s="19" t="n">
        <v>22500</v>
      </c>
      <c r="C6" s="40">
        <f>'2. Assumptions'!I10</f>
        <v/>
      </c>
      <c r="D6" s="19" t="n">
        <v>26200</v>
      </c>
    </row>
    <row r="7">
      <c r="A7" t="inlineStr">
        <is>
          <t>FY28E EBIT margin</t>
        </is>
      </c>
      <c r="B7" s="21" t="n">
        <v>0.14</v>
      </c>
      <c r="C7" s="35">
        <f>'2. Assumptions'!I23</f>
        <v/>
      </c>
      <c r="D7" s="21" t="n">
        <v>0.195</v>
      </c>
    </row>
    <row r="8">
      <c r="A8" t="inlineStr">
        <is>
          <t>FY30E EBITDA (€M)</t>
        </is>
      </c>
      <c r="B8" s="19" t="n">
        <v>3900</v>
      </c>
      <c r="C8" s="40">
        <f>'6. FCFF'!F17</f>
        <v/>
      </c>
      <c r="D8" s="19" t="n">
        <v>7200</v>
      </c>
    </row>
    <row r="9">
      <c r="A9" t="inlineStr">
        <is>
          <t>Sum PV explicit FCFF (€M)</t>
        </is>
      </c>
      <c r="B9" s="18">
        <f>('6. FCFF'!B15*0.75/(1+B4)^0.125 + '6. FCFF'!C15*0.75/(1+B4)^1.125 + '6. FCFF'!D15*0.75/(1+B4)^2.125 + '6. FCFF'!E15*0.75/(1+B4)^3.125 + '6. FCFF'!F15*0.75/(1+B4)^4.125)</f>
        <v/>
      </c>
      <c r="C9" s="18">
        <f>('6. FCFF'!B15/(1+C4)^0.125 + '6. FCFF'!C15/(1+C4)^1.125 + '6. FCFF'!D15/(1+C4)^2.125 + '6. FCFF'!E15/(1+C4)^3.125 + '6. FCFF'!F15/(1+C4)^4.125)</f>
        <v/>
      </c>
      <c r="D9" s="18">
        <f>('6. FCFF'!B15*1.20/(1+D4)^0.125 + '6. FCFF'!C15*1.20/(1+D4)^1.125 + '6. FCFF'!D15*1.20/(1+D4)^2.125 + '6. FCFF'!E15*1.20/(1+D4)^3.125 + '6. FCFF'!F15*1.20/(1+D4)^4.125)</f>
        <v/>
      </c>
    </row>
    <row r="10">
      <c r="A10" t="inlineStr">
        <is>
          <t>PV terminal (€M)</t>
        </is>
      </c>
      <c r="B10" s="18">
        <f>B8*B5/(1+B4)^4.625</f>
        <v/>
      </c>
      <c r="C10" s="18">
        <f>C8*C5/(1+C4)^4.625</f>
        <v/>
      </c>
      <c r="D10" s="18">
        <f>D8*D5/(1+D4)^4.625</f>
        <v/>
      </c>
    </row>
    <row r="11">
      <c r="A11" s="11" t="inlineStr">
        <is>
          <t>Enterprise Value (€M)</t>
        </is>
      </c>
      <c r="B11" s="59">
        <f>B9+B10</f>
        <v/>
      </c>
      <c r="C11" s="59">
        <f>C9+C10</f>
        <v/>
      </c>
      <c r="D11" s="59">
        <f>D9+D10</f>
        <v/>
      </c>
    </row>
    <row r="12">
      <c r="A12" t="inlineStr">
        <is>
          <t>+ Net cash</t>
        </is>
      </c>
      <c r="B12" s="40">
        <f>'2. Assumptions'!B53</f>
        <v/>
      </c>
      <c r="C12" s="40">
        <f>'2. Assumptions'!B53</f>
        <v/>
      </c>
      <c r="D12" s="40">
        <f>'2. Assumptions'!B53</f>
        <v/>
      </c>
    </row>
    <row r="13">
      <c r="A13" s="11" t="inlineStr">
        <is>
          <t>Per share (USD)</t>
        </is>
      </c>
      <c r="B13" s="49">
        <f>(B11+B12)/'2. Assumptions'!I36*'2. Assumptions'!B54</f>
        <v/>
      </c>
      <c r="C13" s="49">
        <f>(C11+C12)/'2. Assumptions'!G36*'2. Assumptions'!B54</f>
        <v/>
      </c>
      <c r="D13" s="49">
        <f>(D11+D12)/'2. Assumptions'!I36*'2. Assumptions'!B54</f>
        <v/>
      </c>
    </row>
    <row r="14">
      <c r="A14" t="inlineStr">
        <is>
          <t>vs Spot (USD)</t>
        </is>
      </c>
      <c r="B14" s="8">
        <f>'2. Assumptions'!B55</f>
        <v/>
      </c>
      <c r="C14" s="8">
        <f>'2. Assumptions'!B55</f>
        <v/>
      </c>
      <c r="D14" s="8">
        <f>'2. Assumptions'!B55</f>
        <v/>
      </c>
    </row>
    <row r="15">
      <c r="A15" s="11" t="inlineStr">
        <is>
          <t>Implied return</t>
        </is>
      </c>
      <c r="B15" s="50">
        <f>B13/B14-1</f>
        <v/>
      </c>
      <c r="C15" s="50">
        <f>C13/C14-1</f>
        <v/>
      </c>
      <c r="D15" s="50">
        <f>D13/D14-1</f>
        <v/>
      </c>
    </row>
    <row r="17">
      <c r="A17" s="6" t="inlineStr">
        <is>
          <t>Asymmetric payoff skew</t>
        </is>
      </c>
    </row>
    <row r="18">
      <c r="A18" t="inlineStr">
        <is>
          <t>Upside (Bull − Spot) / Spot</t>
        </is>
      </c>
      <c r="B18" s="9">
        <f>D13/D14-1</f>
        <v/>
      </c>
    </row>
    <row r="19">
      <c r="A19" t="inlineStr">
        <is>
          <t>Downside (Spot − Bear) / Spot</t>
        </is>
      </c>
      <c r="B19" s="9">
        <f>1-B13/B14</f>
        <v/>
      </c>
    </row>
    <row r="20">
      <c r="A20" s="11" t="inlineStr">
        <is>
          <t>Skew (Up/Down)</t>
        </is>
      </c>
      <c r="B20" s="60">
        <f>B18/B19</f>
        <v/>
      </c>
    </row>
    <row r="22">
      <c r="A22" s="6" t="inlineStr">
        <is>
          <t>Scenario triggers (linked to pillars / counter-pillars):</t>
        </is>
      </c>
    </row>
    <row r="23">
      <c r="A23" t="inlineStr">
        <is>
          <t>Bear: C1 AI capex extends + C2 EM mix-shift compresses + Pillar 2 GM expansion fails (incl. no 5th hike — joint KC P1.2)</t>
        </is>
      </c>
    </row>
    <row r="24">
      <c r="A24" t="inlineStr">
        <is>
          <t>Base: P1 ARPU including 2027 5th hike (KC P1.2 base assumption) + P2 GM 35.8% (+170bps vs CJ Fig 28) + P3 defensive subs</t>
        </is>
      </c>
    </row>
    <row r="25">
      <c r="A25" t="inlineStr">
        <is>
          <t>Bull: P1 hike cadence extends + P2 Marketplace fully realized + biddable ad ramp lifts Ad-Supp GM to 22%+ → 37.0-37.5% FY28 GM</t>
        </is>
      </c>
    </row>
    <row r="27">
      <c r="A27" s="6" t="inlineStr">
        <is>
          <t>Reconciliation vs pillar magnitudes (Phase 8/10):</t>
        </is>
      </c>
    </row>
    <row r="28">
      <c r="A28" t="inlineStr">
        <is>
          <t>P1 ARPU base €5.30 vs Wolfe €5.24 → +1.1% GP delta ≈ €60M FY28 (consistent; 5th hike priced through GM bridge too)</t>
        </is>
      </c>
    </row>
    <row r="29">
      <c r="A29" t="inlineStr">
        <is>
          <t>P2 base GM 35.8% within band 35.5-36.5%: +170bps vs CJ Fig 28 (34.1%) = +€420M FY28 GP; −20bps vs Wolfe Exh 17 (36.0%) ≈ −€50M</t>
        </is>
      </c>
    </row>
    <row r="30">
      <c r="A30" t="inlineStr">
        <is>
          <t>Ad-Supp segment (model assumption, not a pillar): FY28E €2,706M vs Wolfe ~€2,000M → +~$5 PT — material to model robustness, immaterial to thesis</t>
        </is>
      </c>
    </row>
    <row r="31">
      <c r="A31" t="inlineStr">
        <is>
          <t>P3 subs FY28E 365M (Wolfe 368M, CJ 383M) → defensive base aligned</t>
        </is>
      </c>
    </row>
    <row r="32">
      <c r="A32" t="inlineStr">
        <is>
          <t>Bull P2 GM 37.0-37.5% → bull PT clears 'differentiated' edge bar (+13-15% vs CJ on materiality 2A)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2026-06-13T13:15:33Z</dcterms:created>
  <dcterms:modified xmlns:dcterms="http://purl.org/dc/terms/" xmlns:xsi="http://www.w3.org/2001/XMLSchema-instance" xsi:type="dcterms:W3CDTF">2026-06-13T13:15:33Z</dcterms:modified>
</cp:coreProperties>
</file>